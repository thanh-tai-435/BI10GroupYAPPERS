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BI10GroupYAPPERS\draft\"/>
    </mc:Choice>
  </mc:AlternateContent>
  <xr:revisionPtr revIDLastSave="0" documentId="8_{EDE6C434-8399-486C-A2CD-5BCA6A0696B9}" xr6:coauthVersionLast="47" xr6:coauthVersionMax="47" xr10:uidLastSave="{00000000-0000-0000-0000-000000000000}"/>
  <bookViews>
    <workbookView xWindow="-108" yWindow="-108" windowWidth="23256" windowHeight="13896" firstSheet="3" activeTab="8" xr2:uid="{00000000-000D-0000-FFFF-FFFF00000000}"/>
  </bookViews>
  <sheets>
    <sheet name="Tổng quan" sheetId="1" r:id="rId1"/>
    <sheet name="Quy tắc chung" sheetId="2" r:id="rId2"/>
    <sheet name="Task list" sheetId="3" r:id="rId3"/>
    <sheet name="P1 – Hướng dẫn" sheetId="4" r:id="rId4"/>
    <sheet name="P2 – Hướng dẫn" sheetId="5" r:id="rId5"/>
    <sheet name="P3 – Hướng dẫn" sheetId="6" r:id="rId6"/>
    <sheet name="P4 – Hướng dẫn" sheetId="7" r:id="rId7"/>
    <sheet name="P5 – Hướng dẫn" sheetId="8" r:id="rId8"/>
    <sheet name="Slide map" sheetId="9" r:id="rId9"/>
    <sheet name="Lịch" sheetId="10" r:id="rId10"/>
    <sheet name="Checklist review" sheetId="11" r:id="rId11"/>
  </sheets>
  <definedNames>
    <definedName name="_xlnm._FilterDatabase" localSheetId="2" hidden="1">'Task list'!$A$4:$M$40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1" l="1"/>
  <c r="E13" i="11"/>
  <c r="D13" i="11"/>
  <c r="C13" i="11"/>
  <c r="B13" i="11"/>
  <c r="D12" i="10"/>
  <c r="D11" i="10"/>
  <c r="D10" i="10"/>
  <c r="D9" i="10"/>
  <c r="D8" i="10"/>
  <c r="D7" i="10"/>
  <c r="D6" i="10"/>
  <c r="D5" i="10"/>
  <c r="C28" i="9"/>
  <c r="C30" i="9" s="1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F16" i="1"/>
  <c r="I15" i="1"/>
  <c r="G15" i="1"/>
  <c r="F15" i="1"/>
  <c r="H15" i="1" s="1"/>
  <c r="I14" i="1"/>
  <c r="G14" i="1"/>
  <c r="F14" i="1"/>
  <c r="H14" i="1" s="1"/>
  <c r="I13" i="1"/>
  <c r="G13" i="1"/>
  <c r="F13" i="1"/>
  <c r="H13" i="1" s="1"/>
  <c r="I12" i="1"/>
  <c r="G12" i="1"/>
  <c r="F12" i="1"/>
  <c r="H12" i="1" s="1"/>
  <c r="I11" i="1"/>
  <c r="I16" i="1" s="1"/>
  <c r="G11" i="1"/>
  <c r="G16" i="1" s="1"/>
  <c r="F11" i="1"/>
  <c r="H11" i="1" s="1"/>
  <c r="H16" i="1" l="1"/>
</calcChain>
</file>

<file path=xl/sharedStrings.xml><?xml version="1.0" encoding="utf-8"?>
<sst xmlns="http://schemas.openxmlformats.org/spreadsheetml/2006/main" count="881" uniqueCount="500">
  <si>
    <t>BI10 Round 01 – YAPPERS · Phân công 5 người</t>
  </si>
  <si>
    <t>Deadline nộp: 23:59 ngày 28/09/2026 · Nộp nội bộ: 20:00 ngày 28/09 · Deck: tối đa 22 slide, 16:9, tiếng Anh</t>
  </si>
  <si>
    <t>Cách dùng file:</t>
  </si>
  <si>
    <t>1. Điền tên thật vào cột 'Tên thành viên' (ô vàng) ở bảng dưới.</t>
  </si>
  <si>
    <t>2. Mỗi người mở tab hướng dẫn của mình (P1 … P5) và làm theo thứ tự các bước.</t>
  </si>
  <si>
    <t>3. Cập nhật cột 'Trạng thái' trong tab 'Task list' (chọn từ dropdown) — tiến độ ở đây tự tính.</t>
  </si>
  <si>
    <t>4. Đọc tab 'Quy tắc chung' trước khi bắt đầu. Review chéo theo tab 'Checklist review'.</t>
  </si>
  <si>
    <t>Vai trò</t>
  </si>
  <si>
    <t>Tên thành viên</t>
  </si>
  <si>
    <t>Phụ trách</t>
  </si>
  <si>
    <t>Slide sở hữu</t>
  </si>
  <si>
    <t>Nhánh git</t>
  </si>
  <si>
    <t>Tổng việc</t>
  </si>
  <si>
    <t>Đã xong</t>
  </si>
  <si>
    <t>Tiến độ</t>
  </si>
  <si>
    <t>Việc bắt buộc chưa xong</t>
  </si>
  <si>
    <t>P1</t>
  </si>
  <si>
    <t>Task 1 – EDA + slide Giới thiệu</t>
  </si>
  <si>
    <t>4, 5, 6, 7 + slide mới 8</t>
  </si>
  <si>
    <t>p1-task1</t>
  </si>
  <si>
    <t>P2</t>
  </si>
  <si>
    <t>Task 2 – Financial Health</t>
  </si>
  <si>
    <t>9, 10, 11 + slide mới 12</t>
  </si>
  <si>
    <t>p2-task2</t>
  </si>
  <si>
    <t>P3</t>
  </si>
  <si>
    <t>Task 3 – Engagement</t>
  </si>
  <si>
    <t>13, 14, 15 (không thêm slide)</t>
  </si>
  <si>
    <t>p3-task3</t>
  </si>
  <si>
    <t>P4</t>
  </si>
  <si>
    <t>Task 4 – Segmentation + dataset nộp kèm</t>
  </si>
  <si>
    <t>16, 17 + slide mới 18</t>
  </si>
  <si>
    <t>p4-task4</t>
  </si>
  <si>
    <t>P5</t>
  </si>
  <si>
    <t>Task 5 + ráp deck + nộp bài</t>
  </si>
  <si>
    <t>1, 2, 3, 19, 20, 21 (mới), 22</t>
  </si>
  <si>
    <t>main</t>
  </si>
  <si>
    <t>Tổng</t>
  </si>
  <si>
    <t>Mạch chính của bài (không được lệch)</t>
  </si>
  <si>
    <t>• Chi tiêu vượt thu nhập (không phải thu nhập thấp) gây sức khỏe tài chính kém: spend-to-income r = −0.90, credit-utilization r = −0.86.</t>
  </si>
  <si>
    <t>• Cơ cấu chi tiêu đảo ngược khi căng thẳng: stressed (FHS&lt;40) 72% discretionary vs healthy (FHS≥80) 40%.</t>
  </si>
  <si>
    <t>• Căng thẳng theo đợt: 0/999 khách căng thẳng kéo dài; nhóm crossover 43 khách = 52% mọi đợt stress.</t>
  </si>
  <si>
    <t>• Địa lý &amp; tuổi là đòn bẩy yếu → nhắm theo tỷ lệ hành vi, không theo nhân khẩu học.</t>
  </si>
  <si>
    <t>• 4 segment (k-means k=4): 351 / 302 / 258 / 88 → kế hoạch 6 công cụ không trừng phạt.</t>
  </si>
  <si>
    <t>• LUẬT TUYỆT ĐỐI: financial_health_score KHÔNG BAO GIỜ dùng để từ chối tín dụng, giảm hạn mức, tăng lãi, khoá tài khoản.</t>
  </si>
  <si>
    <t>Quy tắc chung – ai cũng phải đọc</t>
  </si>
  <si>
    <t>A. Luật của đề (sai là mất điểm nặng)</t>
  </si>
  <si>
    <t>#</t>
  </si>
  <si>
    <t>Luật</t>
  </si>
  <si>
    <t>Giải thích</t>
  </si>
  <si>
    <t>1</t>
  </si>
  <si>
    <t>Wellbeing, KHÔNG phải credit scoring</t>
  </si>
  <si>
    <t>financial_health_score không bao giờ dùng để từ chối tín dụng, giảm hạn mức, tăng lãi, khoá tài khoản. Không viết câu nào gợi ý điều đó.</t>
  </si>
  <si>
    <t>2</t>
  </si>
  <si>
    <t>So bằng tỷ lệ, không so VND tuyệt đối</t>
  </si>
  <si>
    <t>Thu nhập / hạn mức / số dư là dữ liệu tổng hợp bị thổi phồng. Dùng ratio, share, %.</t>
  </si>
  <si>
    <t>3</t>
  </si>
  <si>
    <t>Mỗi nhận định có số hoặc chart</t>
  </si>
  <si>
    <t>Không có câu khẳng định 'suông'. Số phải lấy từ taskN_output.txt.</t>
  </si>
  <si>
    <t>B. Setup máy (làm 1 lần, ~15 phút)</t>
  </si>
  <si>
    <t>Bước</t>
  </si>
  <si>
    <t>Lệnh / việc</t>
  </si>
  <si>
    <t>Ghi chú</t>
  </si>
  <si>
    <t>git pull</t>
  </si>
  <si>
    <t>Lấy code mới nhất từ repo private thanh-tai-435/BI10GroupYAPPERS.</t>
  </si>
  <si>
    <t>Copy thư mục BI10_ROUND01_DATASET/ vào gốc repo</t>
  </si>
  <si>
    <t>Bị git-ignore → xin P5 qua Drive/Zalo.</t>
  </si>
  <si>
    <t>Chạy Python bằng lệnh  py  (KHÔNG dùng  python)</t>
  </si>
  <si>
    <t>py = Python 3.12 có pandas, numpy, sklearn, matplotlib.</t>
  </si>
  <si>
    <t>4</t>
  </si>
  <si>
    <t>PYTHONUTF8=1 py draft/taskN.py</t>
  </si>
  <si>
    <t>Mỗi script phải có sys.stdout.reconfigure(encoding='utf-8') (tiếng Việt làm vỡ console).</t>
  </si>
  <si>
    <t>5</t>
  </si>
  <si>
    <t>So kết quả với draft/taskN_output.txt</t>
  </si>
  <si>
    <t>Giống nhau = setup đúng.</t>
  </si>
  <si>
    <t>6</t>
  </si>
  <si>
    <t>git checkout -b &lt;nhánh của bạn&gt;</t>
  </si>
  <si>
    <t>Xem cột 'Nhánh git' ở tab Tổng quan.</t>
  </si>
  <si>
    <t>7</t>
  </si>
  <si>
    <t>npm install (chỉ P5)</t>
  </si>
  <si>
    <t>Cần để chạy node draft/build_deck.js.</t>
  </si>
  <si>
    <t>C. Dữ liệu – tên file GÂY NHẦM</t>
  </si>
  <si>
    <t>File</t>
  </si>
  <si>
    <t>Nội dung</t>
  </si>
  <si>
    <t>DÙNG</t>
  </si>
  <si>
    <t>BI10_ROUND01_DATASET/consumer_financial_health_engagement_2025.csv</t>
  </si>
  <si>
    <t>Dữ liệu tháng (consumer-month): 10,992 dòng, 999 khách.</t>
  </si>
  <si>
    <t>BI10_ROUND01_DATASET/consumer_transactions_2025.parquet/consumer_transactions_2025.csv</t>
  </si>
  <si>
    <t>Giao dịch: 1,852,394 dòng (là CSV dù thư mục tên .parquet). Có sẵn province_city, transaction_channel, transaction_day_of_week, transaction_hour.</t>
  </si>
  <si>
    <t>KHÔNG</t>
  </si>
  <si>
    <t>consumer_transactions_2025.csv.gz</t>
  </si>
  <si>
    <t>Thực ra là bản trùng của file tháng.</t>
  </si>
  <si>
    <t>consumer_transactions_2025.parquet.gz</t>
  </si>
  <si>
    <t>Bản nén của file giao dịch.</t>
  </si>
  <si>
    <t>Lưu ý</t>
  </si>
  <si>
    <t>Nhóm tuổi</t>
  </si>
  <si>
    <t>Tuổi nhỏ nhất 15 (7 khách 15–17) — không được bỏ khi chia bin.</t>
  </si>
  <si>
    <t>D. Ai được sửa file nào (tránh conflict git)</t>
  </si>
  <si>
    <t>Ai sửa</t>
  </si>
  <si>
    <t>draft/taskN*.py, taskN_output.txt, taskN_findings.md</t>
  </si>
  <si>
    <t>Chủ task N</t>
  </si>
  <si>
    <t>draft/make_charts.py</t>
  </si>
  <si>
    <t>Mỗi người chỉ sửa khối  # TASK N  của mình</t>
  </si>
  <si>
    <t>Chart mới đặt tên tN_*.png</t>
  </si>
  <si>
    <t>draft/slide_outline.md</t>
  </si>
  <si>
    <t>Mỗi người chỉ sửa các slide mình sở hữu</t>
  </si>
  <si>
    <t>draft/build_deck.js, file .pptx</t>
  </si>
  <si>
    <t>CHỈ P5</t>
  </si>
  <si>
    <t>Người khác gửi nội dung qua slide_outline.md</t>
  </si>
  <si>
    <t>E. Định nghĩa 'XONG' cho 1 hạng mục</t>
  </si>
  <si>
    <t>Tiêu chí</t>
  </si>
  <si>
    <t>Cách làm</t>
  </si>
  <si>
    <t>Code chạy được, nằm trong draft/taskN.py</t>
  </si>
  <si>
    <t>Số liệu có trong taskN_output.txt</t>
  </si>
  <si>
    <t>PYTHONUTF8=1 py draft/taskN.py &gt; draft/taskN_output.txt</t>
  </si>
  <si>
    <t>2–4 dòng insight trong taskN_findings.md</t>
  </si>
  <si>
    <t>Có số + ý nghĩa kinh doanh + caveat nếu cần</t>
  </si>
  <si>
    <t>Nếu lên slide: chart PNG + bullet trong slide_outline.md</t>
  </si>
  <si>
    <t>PNG trong outputs/figures/</t>
  </si>
  <si>
    <t>Đổi bất kỳ con số nào → báo P5</t>
  </si>
  <si>
    <t>Số có thể nằm ở Executive Summary (slide 2) hoặc slide 19–22</t>
  </si>
  <si>
    <t>Task list – cập nhật trạng thái hằng ngày</t>
  </si>
  <si>
    <t>Chỉ sửa cột Trạng thái (L) và Ghi chú (M). Ô vàng = ô cần điền.</t>
  </si>
  <si>
    <t>ID</t>
  </si>
  <si>
    <t>Người</t>
  </si>
  <si>
    <t>Task</t>
  </si>
  <si>
    <t>Hạng mục</t>
  </si>
  <si>
    <t>Mô tả</t>
  </si>
  <si>
    <t>Ưu tiên</t>
  </si>
  <si>
    <t>Bắt buộc (đề yêu cầu)</t>
  </si>
  <si>
    <t>Slide</t>
  </si>
  <si>
    <t>Output</t>
  </si>
  <si>
    <t>Deadline</t>
  </si>
  <si>
    <t>Quá hạn?</t>
  </si>
  <si>
    <t>Trạng thái</t>
  </si>
  <si>
    <t>T1.1</t>
  </si>
  <si>
    <t>Task 1</t>
  </si>
  <si>
    <t>Q3 – kênh theo tỉnh</t>
  </si>
  <si>
    <t>Tỷ trọng POS/QR/E-com/Mobile/Recurring (số GD + giá trị) cho 5 tỉnh + toàn quốc; stacked bar 100%</t>
  </si>
  <si>
    <t>Cao</t>
  </si>
  <si>
    <t>Có</t>
  </si>
  <si>
    <t>Slide mới (8)</t>
  </si>
  <si>
    <t>t1_province_channel.png</t>
  </si>
  <si>
    <t>Chưa làm</t>
  </si>
  <si>
    <t>T1.2</t>
  </si>
  <si>
    <t>Q2 – độ dốc theo FHS</t>
  </si>
  <si>
    <t>Tỷ trọng discretionary theo bin FHS 10 điểm + thử ngưỡng &lt;45 / ≥75</t>
  </si>
  <si>
    <t>Không</t>
  </si>
  <si>
    <t>6 hoặc 8</t>
  </si>
  <si>
    <t>t1_discretionary_gradient.png</t>
  </si>
  <si>
    <t>T1.3</t>
  </si>
  <si>
    <t>Q1 – tháng 12 do category nào</t>
  </si>
  <si>
    <t>Mức tăng số GD T12 vs T2 theo category, top 5; kiểm tra timestamp có năm khác 2025 không</t>
  </si>
  <si>
    <t>Trung bình</t>
  </si>
  <si>
    <t>bảng trong output</t>
  </si>
  <si>
    <t>T1.4</t>
  </si>
  <si>
    <t>Q4 – bổ sung</t>
  </si>
  <si>
    <t>% khách có mua Fuel / Groceries; số lần mua TB/khách/tháng</t>
  </si>
  <si>
    <t>Thấp</t>
  </si>
  <si>
    <t>T1.5</t>
  </si>
  <si>
    <t>Q5 – bootstrap CI tuổi</t>
  </si>
  <si>
    <t>CI 95% FHS trung bình từng nhóm tuổi (1000 lần)</t>
  </si>
  <si>
    <t>bảng CI (gửi P2 dùng chung)</t>
  </si>
  <si>
    <t>T1.6</t>
  </si>
  <si>
    <t>Rà slide 4 Giới thiệu</t>
  </si>
  <si>
    <t>Kiểm tra số 999 / 1,852,394 / 10,992; 2 luật tỷ lệ + wellbeing</t>
  </si>
  <si>
    <t>slide_outline.md</t>
  </si>
  <si>
    <t>T1.7</t>
  </si>
  <si>
    <t>Cập nhật &amp; bàn giao</t>
  </si>
  <si>
    <t>Chạy lại script → output.txt; cập nhật findings + outline; push nhánh p1-task1</t>
  </si>
  <si>
    <t>4–8</t>
  </si>
  <si>
    <t>PR / báo P5</t>
  </si>
  <si>
    <t>T2.1</t>
  </si>
  <si>
    <t>Task 2</t>
  </si>
  <si>
    <t>Q3 – nghề / tuổi / tỉnh (slide mới)</t>
  </si>
  <si>
    <t>Dot plot FHS ± CI theo tỉnh (≥15 khách); gom 396 nghề → ~7 nhóm; bảng tuổi</t>
  </si>
  <si>
    <t>Slide mới (12)</t>
  </si>
  <si>
    <t>t2_demographics.png</t>
  </si>
  <si>
    <t>T2.2</t>
  </si>
  <si>
    <t>Thứ trong tuần / giờ</t>
  </si>
  <si>
    <t>So tháng stressed vs healthy: tỷ trọng chi tiêu theo thứ + giờ (file giao dịch)</t>
  </si>
  <si>
    <t>9 hoặc 12</t>
  </si>
  <si>
    <t>t2_time_pattern.png</t>
  </si>
  <si>
    <t>T2.3</t>
  </si>
  <si>
    <t>Crossover – độ nhạy luật</t>
  </si>
  <si>
    <t>Lưới FHS &lt;35/&lt;40/&lt;45 × engagement ≥p70/p75/p80 → số khách, số tháng, % stress</t>
  </si>
  <si>
    <t>11</t>
  </si>
  <si>
    <t>bảng nhỏ trên slide</t>
  </si>
  <si>
    <t>T2.4</t>
  </si>
  <si>
    <t>Q2 – FHS theo quintile</t>
  </si>
  <si>
    <t>Bar FHS theo 5 nhóm spend_to_income</t>
  </si>
  <si>
    <t>10</t>
  </si>
  <si>
    <t>t2_fhs_by_quintile.png</t>
  </si>
  <si>
    <t>T2.5</t>
  </si>
  <si>
    <t>Output.txt + findings + outline; báo P5 nếu số 43 / 52% đổi</t>
  </si>
  <si>
    <t>9–12</t>
  </si>
  <si>
    <t>T3.1</t>
  </si>
  <si>
    <t>Task 3</t>
  </si>
  <si>
    <t>D1 – % từng engagement segment</t>
  </si>
  <si>
    <t>Histogram + nhãn % khách từng nhóm</t>
  </si>
  <si>
    <t>13</t>
  </si>
  <si>
    <t>t3_engagement_dist.png (sửa)</t>
  </si>
  <si>
    <t>T3.2</t>
  </si>
  <si>
    <t>D2 – online spend share</t>
  </si>
  <si>
    <t>Nêu rõ TB online_spend_ratio; kênh theo tuổi / segment P4</t>
  </si>
  <si>
    <t>t3_channel_mix.png (sửa)</t>
  </si>
  <si>
    <t>T3.3</t>
  </si>
  <si>
    <t>D3 – category diversity</t>
  </si>
  <si>
    <t>Histogram 2–14; tính lại r chỉ với diversity ≥ 8</t>
  </si>
  <si>
    <t>14</t>
  </si>
  <si>
    <t>t3_diversity_hist.png</t>
  </si>
  <si>
    <t>T3.4</t>
  </si>
  <si>
    <t>D4 – heatmap Recency × Frequency</t>
  </si>
  <si>
    <t>Bin recency × bin active_days, màu = engagement TB</t>
  </si>
  <si>
    <t>t3_rf_heatmap.png</t>
  </si>
  <si>
    <t>T3.5</t>
  </si>
  <si>
    <t>D5 – độ nhạy cutoff Q5</t>
  </si>
  <si>
    <t>Lưới FHS ≥65/70/75 × engagement &lt;60/65/70/75 → số khách</t>
  </si>
  <si>
    <t>15</t>
  </si>
  <si>
    <t>bảng trên slide</t>
  </si>
  <si>
    <t>T3.6</t>
  </si>
  <si>
    <t>D6 – lý do chọn chart</t>
  </si>
  <si>
    <t>1 dòng / chart trong findings → P5 đưa vào speaker note</t>
  </si>
  <si>
    <t>13–15</t>
  </si>
  <si>
    <t>task3_findings.md</t>
  </si>
  <si>
    <t>T3.7</t>
  </si>
  <si>
    <t>Output.txt + findings + outline; push p3-task3</t>
  </si>
  <si>
    <t>T4.1</t>
  </si>
  <si>
    <t>Task 4</t>
  </si>
  <si>
    <t>Preprocessed dataset + dictionary</t>
  </si>
  <si>
    <t>CSV 1 dòng/khách: feature thô + z-scale + segment + nhân khẩu; file mô tả cột</t>
  </si>
  <si>
    <t>—</t>
  </si>
  <si>
    <t>task4_features.csv + data_dictionary_task4.md</t>
  </si>
  <si>
    <t>T4.2</t>
  </si>
  <si>
    <t>Kiểm định độ bền (slide mới)</t>
  </si>
  <si>
    <t>ARI qua 20 seed; bootstrap 80%×50; so GMM; PCA 2D</t>
  </si>
  <si>
    <t>Slide mới (18)</t>
  </si>
  <si>
    <t>t4_pca.png + bảng ARI</t>
  </si>
  <si>
    <t>T4.3</t>
  </si>
  <si>
    <t>Dịch chuyển segment theo tháng</t>
  </si>
  <si>
    <t>Gán consumer-month vào centroid → ma trận chuyển t→t+1; % trượt T11–12</t>
  </si>
  <si>
    <t>18</t>
  </si>
  <si>
    <t>t4_transition.png</t>
  </si>
  <si>
    <t>T4.4</t>
  </si>
  <si>
    <t>Hồ sơ nhân khẩu segment</t>
  </si>
  <si>
    <t>Tuổi, giới, top tỉnh mỗi segment; đồng bộ số giới với P5</t>
  </si>
  <si>
    <t>17</t>
  </si>
  <si>
    <t>T4.5</t>
  </si>
  <si>
    <t>Ánh xạ tên nhóm đề gợi ý</t>
  </si>
  <si>
    <t>Vì sao 'Healthy but Disengaged', 'Essential-Focused' không thành cụm; 25 khách P3 nằm đâu</t>
  </si>
  <si>
    <t>findings</t>
  </si>
  <si>
    <t>T4.6</t>
  </si>
  <si>
    <t>Limitations &amp; Future Work</t>
  </si>
  <si>
    <t>≥3 bullet trên slide (kỹ thuật + dữ liệu + hướng tới)</t>
  </si>
  <si>
    <t>17 hoặc 18</t>
  </si>
  <si>
    <t>T4.7</t>
  </si>
  <si>
    <t>Output.txt + findings + outline + dataset gửi P5</t>
  </si>
  <si>
    <t>16–18</t>
  </si>
  <si>
    <t>T5.1</t>
  </si>
  <si>
    <t>Task 5</t>
  </si>
  <si>
    <t>Tác động dự kiến (kịch bản)</t>
  </si>
  <si>
    <t>Hồi quy FHS ~ spend_to_income; giảm 5%/10% → FHS +?, bao nhiêu tháng thoát &lt;40</t>
  </si>
  <si>
    <t>Slide mới (21)</t>
  </si>
  <si>
    <t>t5_impact.png</t>
  </si>
  <si>
    <t>T5.2</t>
  </si>
  <si>
    <t>KPI + A/B test</t>
  </si>
  <si>
    <t>1 KPI / công cụ + thiết kế nhóm đối chứng</t>
  </si>
  <si>
    <t>21</t>
  </si>
  <si>
    <t>T5.3</t>
  </si>
  <si>
    <t>Lộ trình 30/60/90</t>
  </si>
  <si>
    <t>Pha 1 Budgeting+Alerts; pha 2 Reminders trước T12; pha 3 còn lại</t>
  </si>
  <si>
    <t>T5.4</t>
  </si>
  <si>
    <t>Cập nhật 6 đề xuất</t>
  </si>
  <si>
    <t>Lồng input: giờ alert (P2), % trượt T11–12 (P4), người dùng QR/Mobile (P3)</t>
  </si>
  <si>
    <t>19</t>
  </si>
  <si>
    <t>task5_findings.md</t>
  </si>
  <si>
    <t>T5.5</t>
  </si>
  <si>
    <t>Rà luật tín dụng</t>
  </si>
  <si>
    <t>Đọc cả deck, xoá mọi câu gợi ý dùng FHS cho tín dụng</t>
  </si>
  <si>
    <t>Tất cả</t>
  </si>
  <si>
    <t>T5.6</t>
  </si>
  <si>
    <t>Deck</t>
  </si>
  <si>
    <t>Merge + build</t>
  </si>
  <si>
    <t>Merge nhánh P1–P4; chạy lại task1–5, make_charts, build_deck</t>
  </si>
  <si>
    <t>YAPPERS_BI10_R01.pptx</t>
  </si>
  <si>
    <t>T5.7</t>
  </si>
  <si>
    <t>Thêm 4 slide + cập nhật TOC</t>
  </si>
  <si>
    <t>Vị trí 8, 12, 18, 21 (xem tab Slide map)</t>
  </si>
  <si>
    <t>3, 8, 12, 18, 21</t>
  </si>
  <si>
    <t>build_deck.js</t>
  </si>
  <si>
    <t>T5.8</t>
  </si>
  <si>
    <t>Soát số nhất quán</t>
  </si>
  <si>
    <t>Slide 2 + 19–22 khớp findings mới nhất</t>
  </si>
  <si>
    <t>2, 19–22</t>
  </si>
  <si>
    <t>T5.9</t>
  </si>
  <si>
    <t>QA hình</t>
  </si>
  <si>
    <t>PDF → PNG; không tràn chữ; ≤22 slide; 16:9; tiếng Anh; chart có nguồn</t>
  </si>
  <si>
    <t>PDF + PNG</t>
  </si>
  <si>
    <t>T5.10</t>
  </si>
  <si>
    <t>Nộp bài</t>
  </si>
  <si>
    <t>Đổi tên + ZIP + nộp</t>
  </si>
  <si>
    <t>YAPPERS_&lt;Leader&gt;_BI10_R01.pptx + _data.zip</t>
  </si>
  <si>
    <t>file nộp</t>
  </si>
  <si>
    <t>P1 · Task 1 – Exploratory Data Analysis</t>
  </si>
  <si>
    <t>Làm theo thứ tự từ trên xuống. Cập nhật trạng thái ở tab 'Task list'.</t>
  </si>
  <si>
    <t>Đã có sẵn:</t>
  </si>
  <si>
    <t>draft/task1_eda.py · task1_findings.md · chart t1_monthly_spend, t1_essential_discretionary, t1_category_ticket, t1_age_cohort · slide 4–7</t>
  </si>
  <si>
    <t>Việc</t>
  </si>
  <si>
    <t>Cách làm chi tiết</t>
  </si>
  <si>
    <t>Code gợi ý (pandas / sklearn)</t>
  </si>
  <si>
    <t>Kết quả cần có</t>
  </si>
  <si>
    <t>Q3 – bảng kênh theo tỉnh [BẮT BUỘC]</t>
  </si>
  <si>
    <t>Đề yêu cầu 'compare their channel breakdown (POS vs digital channels)' cho ≥2 tỉnh. Hiện mới có digital share tổng.
• 5 tỉnh: Hà Nội, Đồng Nai, Lâm Đồng, Hưng Yên, Hải Phòng + dòng Toàn quốc.
• Tính tỷ trọng theo SỐ GIAO DỊCH và theo GIÁ TRỊ chi tiêu cho 5 kênh.
• Chart: stacked bar 100% nằm ngang (6 thanh).
• Kết luận giữ nguyên: chênh lệch trong ±0.5pp → địa lý không phải đòn bẩy.</t>
  </si>
  <si>
    <t>cnt = pd.crosstab(tx.province_city, tx.transaction_channel, normalize='index')
val = pd.crosstab(tx.province_city, tx.transaction_channel, values=tx.spend_amount_vnd, aggfunc='sum', normalize='index')
nat = tx.groupby('transaction_channel').spend_amount_vnd.sum() / tx.spend_amount_vnd.sum()</t>
  </si>
  <si>
    <t>Slide mới 8 + t1_province_channel.png</t>
  </si>
  <si>
    <t>Chứng minh đảo chiều là LIÊN TỤC, không do chọn ngưỡng 40/80.
• Chia FHS (cấp tháng) thành bin 10 điểm, tính discretionary share = sum(discretionary)/sum(total) mỗi bin.
• Line chart; nếu giảm đều → ghi 'monotonic'.
• Thử thêm ngưỡng FHS&lt;45 vs ≥75 → tỷ trọng có giữ không.</t>
  </si>
  <si>
    <t>mon['bin'] = pd.cut(mon.financial_health_score, range(0,101,10))
g = mon.groupby('bin')[['discretionary_spend_vnd','total_spend_vnd']].sum()
g['disc_share'] = g.discretionary_spend_vnd / g.total_spend_vnd</t>
  </si>
  <si>
    <t>Slide 6 (hoặc 8) + t1_discretionary_gradient.png</t>
  </si>
  <si>
    <t>Q1 – tháng 12 tăng vì category nào</t>
  </si>
  <si>
    <t>• Số GD theo category tháng 12 vs tháng 2 → mức tăng tuyệt đối &amp; %; top 5 đóng góp.
• Kiểm tra caveat 'gộp 2 năm': pd.to_datetime(tx.activity_datetime).dt.year.value_counts(). Ghi rõ kết quả.</t>
  </si>
  <si>
    <t>p = tx.pivot_table(index='spending_category', columns='transaction_month', values='transaction_id', aggfunc='count')
(p[12]-p[2]).sort_values(ascending=False).head(5)</t>
  </si>
  <si>
    <t>Bullet slide 5</t>
  </si>
  <si>
    <t>• % khách có ít nhất 1 GD Fuel / Groceries.
• Số lần mua trung bình / khách / tháng mỗi category.</t>
  </si>
  <si>
    <t>tx.groupby('spending_category').consumer_id.nunique() / 999</t>
  </si>
  <si>
    <t>Bullet slide 7</t>
  </si>
  <si>
    <t>Q5 – bootstrap CI theo tuổi</t>
  </si>
  <si>
    <t>• FHS cấp khách (mean 12 tháng), bin tuổi 15–24, 25–34, …, 65+ (giữ 7 khách 15–17).
• Bootstrap 1000 lần → CI 95%. CI chồng nhau → tuổi là tín hiệu yếu.
• Gửi bảng CI cho P2 dùng chung.</t>
  </si>
  <si>
    <t>rng = np.random.default_rng(42)
ci = [np.percentile([rng.choice(v, len(v)).mean() for _ in range(1000)], [2.5, 97.5])]</t>
  </si>
  <si>
    <t>Rà slide 4 – Giới thiệu</t>
  </si>
  <si>
    <t>Kiểm tra số: 999 khách, 1,852,394 giao dịch, 10,992 consumer-month. Có đủ 2 luật: tỷ lệ + wellbeing.</t>
  </si>
  <si>
    <t>Chạy lại script → output.txt; viết insight vào findings; sửa slide 4–8 trong slide_outline.md; thêm chart vào khối # TASK 1 của make_charts.py; push nhánh p1-task1; nhắn P5.</t>
  </si>
  <si>
    <t>PYTHONUTF8=1 py draft/task1_eda.py &gt; draft/task1_output.txt</t>
  </si>
  <si>
    <t>P2 · Task 2 – Financial Health</t>
  </si>
  <si>
    <t>draft/task2.py · task2_findings.md · chart t2_fhs_distribution, t2_low_health_drivers, t2_crossover · slide 9–11 (cũ 8–10)</t>
  </si>
  <si>
    <t>Q3 – nghề / tuổi / tỉnh [BẮT BUỘC, slide mới 12]</t>
  </si>
  <si>
    <t>Deliverable 3 của đề chưa có slide riêng.
• Tỉnh: dot plot FHS trung bình ± CI 95% cho tỉnh ≥15 khách, kèm đường TB toàn quốc.
• Nghề: 396 nghề × ≤10 khách → gom ~7 nhóm bằng từ khoá (sinh viên/học sinh; kinh doanh/buôn bán; nhân viên/văn phòng; công nhân/lao động; giáo viên/bác sĩ/kỹ sư/chuyên gia; hưu trí; khác). Dict mapping viết rõ trong code.
• Tuổi: dùng bảng 6 nhóm + CI từ P1 (thống nhất số).
• Kết luận mong đợi: nhân khẩu học chênh ít → nhắm theo tỷ lệ hành vi. Nhóm nghề nào khác thật thì nói thẳng.</t>
  </si>
  <si>
    <t>GROUPS = {'Sinh viên': ['sinh viên','học sinh'], 'Kinh doanh': ['kinh doanh','buôn bán','chủ'], ...}
def grp(o):
    o = o.lower()
    return next((g for g, kws in GROUPS.items() if any(k in o for k in kws)), 'Khác')
cons['occ_group'] = cons.occupation.map(grp)</t>
  </si>
  <si>
    <t>Slide mới 12 + t2_demographics.png</t>
  </si>
  <si>
    <t>Thứ trong tuần / giờ (đề gợi ý dùng file giao dịch)</t>
  </si>
  <si>
    <t>• Ghép tx với nhãn tháng stressed (FHS&lt;40) / healthy (FHS≥80) theo consumer_id + tháng.
• So tỷ trọng chi tiêu theo transaction_day_of_week và transaction_hour.
• Có pattern (vd. stress chi nhiều cuối tuần / đêm) → gửi P5 làm 'thời điểm gửi Spend Alert'.</t>
  </si>
  <si>
    <t>lab = mon[['consumer_id','analysis_month','financial_health_score']]  # chuẩn hoá tháng về số 1–12 trước khi merge
tx.merge(lab, left_on=['consumer_id','transaction_month'], right_on=['consumer_id','month'])</t>
  </si>
  <si>
    <t>Slide 10 hoặc 12 + t2_time_pattern.png</t>
  </si>
  <si>
    <t>Lưới FHS &lt;35/&lt;40/&lt;45 × engagement ≥p70/p75/p80 → số khách, số tháng, % tổng đợt stress. Chứng minh 43 khách / 52% là lựa chọn hợp lý.</t>
  </si>
  <si>
    <t>for f in (35,40,45):
  for q in (.70,.75,.80):
    thr = mon.engagement_score.quantile(q)
    m = mon[(mon.financial_health_score&lt;f)&amp;(mon.engagement_score&gt;=thr)]</t>
  </si>
  <si>
    <t>Bảng nhỏ trên slide 11</t>
  </si>
  <si>
    <t>Q2 – FHS theo quintile spend/income</t>
  </si>
  <si>
    <t>Bar chart FHS TB theo 5 nhóm spend_to_income_ratio — trực quan hơn r = −0.90.</t>
  </si>
  <si>
    <t>mon['q'] = pd.qcut(mon.spend_to_income_ratio, 5, labels=['Q1','Q2','Q3','Q4','Q5'])</t>
  </si>
  <si>
    <t>Slide 10</t>
  </si>
  <si>
    <t>Output.txt + findings + slide_outline (slide 9–12). Giữ caveat 'directional, không nhân quả'. Nếu 43 / 52% thay đổi → báo P5 ngay (có ở slide 2, 19, 20, 22).</t>
  </si>
  <si>
    <t>PYTHONUTF8=1 py draft/task2.py &gt; draft/task2_output.txt</t>
  </si>
  <si>
    <t>P3 · Task 3 – Customer Engagement</t>
  </si>
  <si>
    <t>draft/task3.py · task3_findings.md · chart t3_engagement_dist, t3_channel_mix, t3_diversity_vs_engagement, t3_health_vs_engagement_quadrant · slide 13–15 (cũ 11–13)</t>
  </si>
  <si>
    <t>D1 – % khách từng engagement segment</t>
  </si>
  <si>
    <t>Không chỉ '99% high/very high' — ghi % cho TỪNG nhóm của engagement_segment. Histogram + nhãn %.</t>
  </si>
  <si>
    <t>mon.engagement_segment.value_counts(normalize=True)</t>
  </si>
  <si>
    <t>Slide 13</t>
  </si>
  <si>
    <t>• Nêu rõ con số TB online_spend_ratio cấp khách trên slide.
• Thêm kênh theo nhóm tuổi hoặc theo segment của P4 (lấy nhãn từ task4_features.csv).</t>
  </si>
  <si>
    <t>seg = pd.read_csv('draft/task4_features.csv')  # cột nhãn segment
pd.crosstab(tx.merge(seg, on='consumer_id').segment, tx.transaction_channel, normalize='index')</t>
  </si>
  <si>
    <t>• Histogram phân phối (2–14) cạnh scatter hiện có.
• Tính lại r chỉ với khách diversity ≥ 8 — kiểm tra r = +0.94 có bị nhóm đuôi kéo không. Ghi thẳng kết quả.</t>
  </si>
  <si>
    <t>c = cons[cons.category_diversity&gt;=8]; c.category_diversity.corr(c.engagement_score)</t>
  </si>
  <si>
    <t>Slide 14</t>
  </si>
  <si>
    <t>Bin transaction_recency_days × bin active_transaction_days, màu = engagement TB, ghi số khách mỗi ô. Hợp dữ liệu hơn bảng số.</t>
  </si>
  <si>
    <t>pd.pivot_table(cons, index=pd.cut(cons.transaction_recency_days, [...]),
  columns=pd.cut(cons.active_transaction_days, [...]), values='engagement_score')</t>
  </si>
  <si>
    <t>Slide 14 + t3_rf_heatmap.png</t>
  </si>
  <si>
    <t>D5 – bảng độ nhạy cutoff Q5</t>
  </si>
  <si>
    <t>Đề hỏi 'vì sao chọn cutoff này thay vì chặt / lỏng hơn'. Lưới FHS ≥65/70/75 × engagement &lt;60/65/70/75 → số khách. Làm nổi ô 70/70 = 25 khách.</t>
  </si>
  <si>
    <t>for h in (65,70,75):
  for e in (60,65,70,75):
    n = ((cons.financial_health_score&gt;=h)&amp;(cons.engagement_score&lt;e)).sum()</t>
  </si>
  <si>
    <t>Slide 15</t>
  </si>
  <si>
    <t>Mỗi chart 1 dòng trong findings: vd. 'Histogram vì biến liên tục, lệch trái'. P5 đưa vào speaker note.</t>
  </si>
  <si>
    <t>Output.txt + findings + slide_outline (13–15). Không thêm slide — thay chart tốt hơn.</t>
  </si>
  <si>
    <t>PYTHONUTF8=1 py draft/task3.py &gt; draft/task3_output.txt</t>
  </si>
  <si>
    <t>P4 · Task 4 – Customer Segmentation</t>
  </si>
  <si>
    <t>draft/task4.py (k-means k=4, silhouette 0.251, 999/999) · task4_features.csv · chart t4_segment_sizes, t4_segment_profiles, t4_silhouette · slide 16–17 (cũ 14–15)</t>
  </si>
  <si>
    <t>Preprocessed dataset + dictionary [BẮT BUỘC]</t>
  </si>
  <si>
    <t>• task4_features.csv: 1 dòng/khách, 8 feature thô + 8 feature z-scale (cột z_*) + nhãn segment + age/gender/occupation/province.
• data_dictionary_task4.md: tên cột, ý nghĩa, công thức, đơn vị.
• Gửi cả hai cho P5 đưa vào ZIP.</t>
  </si>
  <si>
    <t>z = pd.DataFrame(X, index=cons.index, columns=['z_'+c for c in feat])
cons.join(z).join(demo).to_csv('draft/task4_features.csv')</t>
  </si>
  <si>
    <t>2 file cho ZIP</t>
  </si>
  <si>
    <t>Kiểm định độ bền (slide mới 18)</t>
  </si>
  <si>
    <t>• 20 random_state → ARI so với nghiệm gốc (&gt;0.8 = ổn).
• Bootstrap 80% × 50 lần → % khách giữ segment.
• GMM k=4: ARI vs k-means + % khách có xác suất max &lt; 0.6 ('ở biên').
• PCA 2D scatter tô màu segment.</t>
  </si>
  <si>
    <t>from sklearn.metrics import adjusted_rand_score
from sklearn.mixture import GaussianMixture
from sklearn.decomposition import PCA
aris = [adjusted_rand_score(km.labels_, KMeans(4, n_init=10, random_state=s).fit(X).labels_) for s in range(20)]
gm = GaussianMixture(4, random_state=42).fit(X); (gm.predict_proba(X).max(1) &lt; .6).mean()</t>
  </si>
  <si>
    <t>Slide mới 18 + t4_pca.png</t>
  </si>
  <si>
    <t>Gán mỗi dòng consumer-month vào centroid gần nhất (DÙNG CÙNG scaler đã fit trên cấp khách) → ma trận chuyển tháng t → t+1. Trả lời: % khách Healthy trượt sang Stretched ở T11–12? Gửi số cho P5 (Planning Reminder trước T12).</t>
  </si>
  <si>
    <t>sc = StandardScaler().fit(cons[feat]); mon['seg'] = km.predict(sc.transform(mon[feat]))
mon = mon.sort_values(['consumer_id','analysis_month']); mon['next'] = mon.groupby('consumer_id').seg.shift(-1)
pd.crosstab(mon.seg, mon.next, normalize='index')</t>
  </si>
  <si>
    <t>Slide 18 + t4_transition.png</t>
  </si>
  <si>
    <t>Hồ sơ nhân khẩu từng segment</t>
  </si>
  <si>
    <t>Tuổi TB, % nữ/nam, top 3 tỉnh mỗi segment → segment không trùng nhân khẩu → công bằng. Thống nhất số giới (56.6% vs 49.4%) với P5.</t>
  </si>
  <si>
    <t>cons.groupby('cluster').agg(age=('age','mean'), male=('gender', lambda g:(g=='Nam').mean()))</t>
  </si>
  <si>
    <t>Slide 17</t>
  </si>
  <si>
    <t>Ánh xạ sang tên nhóm đề gợi ý</t>
  </si>
  <si>
    <t>Bảng: nhóm đề gợi ý → segment tương ứng / vì sao không thành cụm riêng. 25 khách high-health-low-engagement của P3 nằm ở segment nào?</t>
  </si>
  <si>
    <t>findings + slide 17</t>
  </si>
  <si>
    <t>≥3 bullet trên slide: silhouette vừa phải (0.251); mean che quỹ đạo; dữ liệu tổng hợp 1 năm. Future: GMM, feature xu hướng, bootstrap, dữ liệu nhiều năm.</t>
  </si>
  <si>
    <t>Slide 17 hoặc 18</t>
  </si>
  <si>
    <t>Output.txt + findings + slide_outline (16–18) + gửi dataset.</t>
  </si>
  <si>
    <t>PYTHONUTF8=1 py draft/task4.py &gt; draft/task4_output.txt</t>
  </si>
  <si>
    <t>P5 · Task 5 + ráp deck + nộp bài</t>
  </si>
  <si>
    <t>draft/task5.py · task5_findings.md · chart t5_priority_ranking, t5_target_sizes · build_deck.js · YAPPERS_BI10_R01.pptx · slide 1–3, 19–22</t>
  </si>
  <si>
    <t>Tác động dự kiến – kịch bản (slide mới 21)</t>
  </si>
  <si>
    <t>• Hồi quy đơn FHS ~ spend_to_income (cấp tháng) → hệ số.
• Kịch bản: 302 khách Stretched giảm spend/income 5% / 10% → FHS tăng bao nhiêu, bao nhiêu tháng thoát FHS&lt;40.
• Ghi rõ 'kịch bản giả định, không phải dự báo'.</t>
  </si>
  <si>
    <t>b, a = np.polyfit(mon.spend_to_income_ratio, mon.financial_health_score, 1)
s = mon[mon.consumer_id.isin(stretched)]; new = a + b*s.spend_to_income_ratio*0.9
((s.financial_health_score&lt;40)&amp;(new&gt;=40)).sum()</t>
  </si>
  <si>
    <t>Slide 21 + t5_impact.png</t>
  </si>
  <si>
    <t>Mỗi công cụ 1 KPI: Budgeting → spend/income; Alerts → % tháng stress; Reminders → biến động T12; Education → essential ratio; Nudges → category diversity; Products → tỷ lệ opt-in. Đo bằng A/B với nhóm đối chứng ngẫu nhiên.</t>
  </si>
  <si>
    <t>Slide 21</t>
  </si>
  <si>
    <t>Pha 1 (30 ngày): Budgeting + Alerts · Pha 2 (60): Reminders trước T12 · Pha 3 (90): Products, Nudges, Education.</t>
  </si>
  <si>
    <t>Lồng input đồng đội: giờ/ngày gửi alert (P2 T2.2), % trượt segment T11–12 (P4 T4.3), khách dùng QR/Mobile (P3 T3.2).</t>
  </si>
  <si>
    <t>task5_findings + slide 19</t>
  </si>
  <si>
    <t>Đọc cả deck + speaker notes; xoá mọi câu có thể hiểu là dùng FHS cho quyết định tín dụng. Luật tuyệt đối giữ ở slide 20.</t>
  </si>
  <si>
    <t>Merge nhánh p1–p4 → chạy lại toàn bộ theo thứ tự.</t>
  </si>
  <si>
    <t>for n in 1_eda 2 3 4 5; do PYTHONUTF8=1 py draft/task$n.py &gt; draft/task${n%%_*}_output.txt; done
PYTHONUTF8=1 py draft/make_charts.py
node draft/build_deck.js
"/c/Program Files/LibreOffice/program/soffice.exe" --headless --convert-to pdf --outdir draft/ draft/YAPPERS_BI10_R01.pptx
pdftoppm -png -r 100 draft/YAPPERS_BI10_R01.pdf draft/slide</t>
  </si>
  <si>
    <t>Deck v2</t>
  </si>
  <si>
    <t>Vị trí 8 (P1), 12 (P2), 18 (P4), 21 (P5). Cập nhật Table of Contents (slide 3). Xem tab 'Slide map'.</t>
  </si>
  <si>
    <t>Mọi số trên slide 2 và 19–22 phải khớp taskN_output.txt mới nhất.</t>
  </si>
  <si>
    <t>Xem từng PNG: không tràn chữ, chart không méo, font đọc được, ≤22 slide, 16:9, tiếng Anh, chart có caption/nguồn.</t>
  </si>
  <si>
    <t>• Deck: YAPPERS_&lt;TênLeader&gt;_BI10_R01.pptx
• ZIP: YAPPERS_&lt;TênLeader&gt;_BI10_R01_data.zip gồm draft/*.py, *_output.txt, *_findings.md, task4_features.csv + dictionary, outputs/figures/
• Nộp trước 20:00 ngày 28/09.</t>
  </si>
  <si>
    <t>File nộp</t>
  </si>
  <si>
    <t>Slide map – deck cuối 22 slide</t>
  </si>
  <si>
    <t>Slide 'MỚI' do chủ sở hữu viết nội dung, P5 đưa vào build_deck.js</t>
  </si>
  <si>
    <t>Slide mới #</t>
  </si>
  <si>
    <t>Slide cũ #</t>
  </si>
  <si>
    <t>Tiêu đề</t>
  </si>
  <si>
    <t>Chủ sở hữu</t>
  </si>
  <si>
    <t>Chart</t>
  </si>
  <si>
    <t>Title</t>
  </si>
  <si>
    <t>Chưa xong</t>
  </si>
  <si>
    <t>Executive Summary</t>
  </si>
  <si>
    <t>Table of Contents</t>
  </si>
  <si>
    <t>Introduction to the Case</t>
  </si>
  <si>
    <t>T1 Q1 – December spending engine</t>
  </si>
  <si>
    <t>t1_monthly_spend</t>
  </si>
  <si>
    <t>T1 Q2 – Budget inversion (spine)</t>
  </si>
  <si>
    <t>t1_essential_discretionary</t>
  </si>
  <si>
    <t>T1 Q3–Q5 – Where the signal is NOT</t>
  </si>
  <si>
    <t>t1_category_ticket, t1_age_cohort</t>
  </si>
  <si>
    <t>MỚI</t>
  </si>
  <si>
    <t>T1 Q3 – Channel breakdown by province</t>
  </si>
  <si>
    <t>t1_province_channel</t>
  </si>
  <si>
    <t>8</t>
  </si>
  <si>
    <t>T2 Q1 – Health band, episodic distress</t>
  </si>
  <si>
    <t>t2_fhs_distribution</t>
  </si>
  <si>
    <t>9</t>
  </si>
  <si>
    <t>T2 Q2 – Low health = overspend</t>
  </si>
  <si>
    <t>t2_low_health_drivers</t>
  </si>
  <si>
    <t>T2 Q4 – Stressed but Engaged crossover</t>
  </si>
  <si>
    <t>t2_crossover</t>
  </si>
  <si>
    <t>T2 Q3 – Occupation / age / province</t>
  </si>
  <si>
    <t>t2_demographics</t>
  </si>
  <si>
    <t>T3 Q1–Q2 – Engagement &amp; channels</t>
  </si>
  <si>
    <t>t3_engagement_dist, t3_channel_mix</t>
  </si>
  <si>
    <t>12</t>
  </si>
  <si>
    <t>T3 Q3–Q4 – Diversity &amp; recency/frequency</t>
  </si>
  <si>
    <t>t3_diversity_vs_engagement, t3_rf_heatmap</t>
  </si>
  <si>
    <t>T3 Q5 – High-health low-engagement</t>
  </si>
  <si>
    <t>t3_health_vs_engagement_quadrant</t>
  </si>
  <si>
    <t>T4 Method &amp; model selection</t>
  </si>
  <si>
    <t>t4_silhouette</t>
  </si>
  <si>
    <t>T4 The four segments</t>
  </si>
  <si>
    <t>t4_segment_sizes, t4_segment_profiles</t>
  </si>
  <si>
    <t>T4 Validation &amp; segment migration</t>
  </si>
  <si>
    <t>t4_pca, t4_transition</t>
  </si>
  <si>
    <t>16</t>
  </si>
  <si>
    <t>T5 Six-tool action plan</t>
  </si>
  <si>
    <t>t5_target_sizes</t>
  </si>
  <si>
    <t>T5 Prioritization &amp; ethical rule</t>
  </si>
  <si>
    <t>t5_priority_ranking</t>
  </si>
  <si>
    <t>T5 Impact, KPIs &amp; roadmap</t>
  </si>
  <si>
    <t>t5_impact</t>
  </si>
  <si>
    <t>Closing / Impact</t>
  </si>
  <si>
    <t>Tổng số slide:</t>
  </si>
  <si>
    <t>Giới hạn đề:</t>
  </si>
  <si>
    <t>Kiểm tra:</t>
  </si>
  <si>
    <t>Lịch làm việc</t>
  </si>
  <si>
    <t>Mốc nộp nội bộ 20:00 28/09 — dư 4 tiếng trước deadline 23:59</t>
  </si>
  <si>
    <t>Mốc</t>
  </si>
  <si>
    <t>Ai</t>
  </si>
  <si>
    <t>Còn lại (giờ)</t>
  </si>
  <si>
    <t>Setup máy, chạy lại script của mình, đọc findings + slide outline + tab hướng dẫn</t>
  </si>
  <si>
    <t>Xong phân tích làm sâu; push code + output.txt</t>
  </si>
  <si>
    <t>P1–P4</t>
  </si>
  <si>
    <t>Xong chart + findings + bullet slide trong slide_outline.md</t>
  </si>
  <si>
    <t>Deck v2 (22 slide) + PDF gửi nhóm</t>
  </si>
  <si>
    <t>Review chéo: P1↔P2, P3↔P4 soát số &amp; logic; P5 soát cả deck + luật tín dụng</t>
  </si>
  <si>
    <t>Đóng băng nội dung, build bản cuối</t>
  </si>
  <si>
    <t>Nộp bài (deck + ZIP)</t>
  </si>
  <si>
    <t>HẠN CHÓT CỦA BAN TỔ CHỨC 23:59</t>
  </si>
  <si>
    <t>Checklist review chéo</t>
  </si>
  <si>
    <t>Người review điền x vào ô vàng. P1↔P2, P3↔P4, P5 review toàn deck.</t>
  </si>
  <si>
    <t>P1 (review bởi P2)</t>
  </si>
  <si>
    <t>P2 (review bởi P1)</t>
  </si>
  <si>
    <t>P3 (review bởi P4)</t>
  </si>
  <si>
    <t>P4 (review bởi P3)</t>
  </si>
  <si>
    <t>P5 (review bởi cả nhóm)</t>
  </si>
  <si>
    <t>Mỗi bullet có số hoặc chart</t>
  </si>
  <si>
    <t>Không so VND tuyệt đối giữa khách (chỉ dùng tỷ lệ / %)</t>
  </si>
  <si>
    <t>Không câu nào gợi ý dùng FHS cho tín dụng (từ chối, giảm hạn mức, tăng lãi, khoá)</t>
  </si>
  <si>
    <t>Số trên slide = số trong taskN_output.txt</t>
  </si>
  <si>
    <t>Chart có tiêu đề, trục, đơn vị, nguồn / caption</t>
  </si>
  <si>
    <t>Caveat đặt đúng chỗ (dữ liệu tổng hợp, mẫu nhỏ, không nhân quả)</t>
  </si>
  <si>
    <t>Tiếng Anh, không lỗi chính tả, không chữ tràn khung</t>
  </si>
  <si>
    <t>Deliverable bắt buộc của task đã có đủ (so với DeBai.md)</t>
  </si>
  <si>
    <t>Số tiêu chí đạt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</si>
</sst>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\ hh:mm"/>
  </numFmts>
  <fonts count="11" x14ac:knownFonts="1">
    <font>
      <sz val="11"/>
      <color theme="1"/>
      <name val="Calibri"/>
      <family val="2"/>
      <scheme val="minor"/>
    </font>
    <font>
      <b/>
      <sz val="16"/>
      <color rgb="FF1F3A5F"/>
      <name val="Arial"/>
    </font>
    <font>
      <i/>
      <sz val="10"/>
      <color rgb="FF555555"/>
      <name val="Arial"/>
    </font>
    <font>
      <b/>
      <sz val="11"/>
      <name val="Arial"/>
    </font>
    <font>
      <sz val="10"/>
      <name val="Arial"/>
    </font>
    <font>
      <b/>
      <sz val="11"/>
      <color rgb="FFFFFFFF"/>
      <name val="Arial"/>
    </font>
    <font>
      <b/>
      <sz val="12"/>
      <color rgb="FF1F3A5F"/>
      <name val="Arial"/>
    </font>
    <font>
      <sz val="10"/>
      <color rgb="FF000000"/>
      <name val="Arial"/>
    </font>
    <font>
      <b/>
      <sz val="10"/>
      <color rgb="FFC00000"/>
      <name val="Arial"/>
    </font>
    <font>
      <sz val="9"/>
      <color rgb="FF1F3A5F"/>
      <name val="Consolas"/>
    </font>
    <font>
      <b/>
      <sz val="11"/>
      <color rgb="FFC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EDE3F5"/>
      </patternFill>
    </fill>
    <fill>
      <patternFill patternType="solid">
        <fgColor rgb="FFFFF2CC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/>
    </xf>
    <xf numFmtId="9" fontId="4" fillId="0" borderId="1" xfId="0" applyNumberFormat="1" applyFont="1" applyBorder="1" applyAlignment="1">
      <alignment horizontal="center" vertical="top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9" fontId="3" fillId="0" borderId="0" xfId="0" applyNumberFormat="1" applyFont="1"/>
    <xf numFmtId="0" fontId="6" fillId="8" borderId="0" xfId="0" applyFont="1" applyFill="1"/>
    <xf numFmtId="0" fontId="0" fillId="8" borderId="0" xfId="0" applyFill="1"/>
    <xf numFmtId="0" fontId="7" fillId="0" borderId="0" xfId="0" applyFont="1"/>
    <xf numFmtId="0" fontId="8" fillId="0" borderId="0" xfId="0" applyFont="1"/>
    <xf numFmtId="165" fontId="4" fillId="0" borderId="1" xfId="0" applyNumberFormat="1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0" xfId="0" applyFont="1"/>
    <xf numFmtId="0" fontId="4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4">
    <dxf>
      <fill>
        <patternFill patternType="solid">
          <fgColor rgb="FFDDEBF7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showGridLines="0" workbookViewId="0">
      <pane ySplit="10" topLeftCell="A14" activePane="bottomLeft" state="frozen"/>
      <selection pane="bottomLeft"/>
    </sheetView>
  </sheetViews>
  <sheetFormatPr defaultRowHeight="14.4" x14ac:dyDescent="0.3"/>
  <cols>
    <col min="1" max="1" width="9" customWidth="1"/>
    <col min="2" max="2" width="20" customWidth="1"/>
    <col min="3" max="3" width="34" customWidth="1"/>
    <col min="4" max="4" width="26" customWidth="1"/>
    <col min="5" max="5" width="12" customWidth="1"/>
    <col min="6" max="8" width="10" customWidth="1"/>
    <col min="9" max="9" width="14" customWidth="1"/>
  </cols>
  <sheetData>
    <row r="1" spans="1:9" ht="21" x14ac:dyDescent="0.4">
      <c r="A1" s="1" t="s">
        <v>0</v>
      </c>
    </row>
    <row r="2" spans="1:9" x14ac:dyDescent="0.3">
      <c r="A2" s="2" t="s">
        <v>1</v>
      </c>
    </row>
    <row r="4" spans="1:9" x14ac:dyDescent="0.3">
      <c r="A4" s="3" t="s">
        <v>2</v>
      </c>
    </row>
    <row r="5" spans="1:9" x14ac:dyDescent="0.3">
      <c r="A5" s="4" t="s">
        <v>3</v>
      </c>
    </row>
    <row r="6" spans="1:9" x14ac:dyDescent="0.3">
      <c r="A6" s="4" t="s">
        <v>4</v>
      </c>
    </row>
    <row r="7" spans="1:9" x14ac:dyDescent="0.3">
      <c r="A7" s="4" t="s">
        <v>5</v>
      </c>
    </row>
    <row r="8" spans="1:9" x14ac:dyDescent="0.3">
      <c r="A8" s="4" t="s">
        <v>6</v>
      </c>
    </row>
    <row r="10" spans="1:9" ht="41.4" x14ac:dyDescent="0.3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  <c r="F10" s="5" t="s">
        <v>12</v>
      </c>
      <c r="G10" s="5" t="s">
        <v>13</v>
      </c>
      <c r="H10" s="5" t="s">
        <v>14</v>
      </c>
      <c r="I10" s="5" t="s">
        <v>15</v>
      </c>
    </row>
    <row r="11" spans="1:9" x14ac:dyDescent="0.3">
      <c r="A11" s="6" t="s">
        <v>16</v>
      </c>
      <c r="B11" s="7"/>
      <c r="C11" s="8" t="s">
        <v>17</v>
      </c>
      <c r="D11" s="8" t="s">
        <v>18</v>
      </c>
      <c r="E11" s="8" t="s">
        <v>19</v>
      </c>
      <c r="F11" s="9">
        <f>COUNTIF('Task list'!$B:$B,A11)</f>
        <v>7</v>
      </c>
      <c r="G11" s="9">
        <f>COUNTIFS('Task list'!$B:$B,A11,'Task list'!$L:$L,"Xong")</f>
        <v>0</v>
      </c>
      <c r="H11" s="10">
        <f t="shared" ref="H11:H16" si="0">IF(F11=0,0,G11/F11)</f>
        <v>0</v>
      </c>
      <c r="I11" s="9">
        <f>COUNTIFS('Task list'!$B:$B,A11,'Task list'!$G:$G,"Có",'Task list'!$L:$L,"&lt;&gt;Xong")</f>
        <v>3</v>
      </c>
    </row>
    <row r="12" spans="1:9" x14ac:dyDescent="0.3">
      <c r="A12" s="11" t="s">
        <v>20</v>
      </c>
      <c r="B12" s="7"/>
      <c r="C12" s="8" t="s">
        <v>21</v>
      </c>
      <c r="D12" s="8" t="s">
        <v>22</v>
      </c>
      <c r="E12" s="8" t="s">
        <v>23</v>
      </c>
      <c r="F12" s="9">
        <f>COUNTIF('Task list'!$B:$B,A12)</f>
        <v>5</v>
      </c>
      <c r="G12" s="9">
        <f>COUNTIFS('Task list'!$B:$B,A12,'Task list'!$L:$L,"Xong")</f>
        <v>0</v>
      </c>
      <c r="H12" s="10">
        <f t="shared" si="0"/>
        <v>0</v>
      </c>
      <c r="I12" s="9">
        <f>COUNTIFS('Task list'!$B:$B,A12,'Task list'!$G:$G,"Có",'Task list'!$L:$L,"&lt;&gt;Xong")</f>
        <v>2</v>
      </c>
    </row>
    <row r="13" spans="1:9" x14ac:dyDescent="0.3">
      <c r="A13" s="12" t="s">
        <v>24</v>
      </c>
      <c r="B13" s="7"/>
      <c r="C13" s="8" t="s">
        <v>25</v>
      </c>
      <c r="D13" s="8" t="s">
        <v>26</v>
      </c>
      <c r="E13" s="8" t="s">
        <v>27</v>
      </c>
      <c r="F13" s="9">
        <f>COUNTIF('Task list'!$B:$B,A13)</f>
        <v>7</v>
      </c>
      <c r="G13" s="9">
        <f>COUNTIFS('Task list'!$B:$B,A13,'Task list'!$L:$L,"Xong")</f>
        <v>0</v>
      </c>
      <c r="H13" s="10">
        <f t="shared" si="0"/>
        <v>0</v>
      </c>
      <c r="I13" s="9">
        <f>COUNTIFS('Task list'!$B:$B,A13,'Task list'!$G:$G,"Có",'Task list'!$L:$L,"&lt;&gt;Xong")</f>
        <v>7</v>
      </c>
    </row>
    <row r="14" spans="1:9" ht="26.4" x14ac:dyDescent="0.3">
      <c r="A14" s="13" t="s">
        <v>28</v>
      </c>
      <c r="B14" s="7"/>
      <c r="C14" s="8" t="s">
        <v>29</v>
      </c>
      <c r="D14" s="8" t="s">
        <v>30</v>
      </c>
      <c r="E14" s="8" t="s">
        <v>31</v>
      </c>
      <c r="F14" s="9">
        <f>COUNTIF('Task list'!$B:$B,A14)</f>
        <v>7</v>
      </c>
      <c r="G14" s="9">
        <f>COUNTIFS('Task list'!$B:$B,A14,'Task list'!$L:$L,"Xong")</f>
        <v>0</v>
      </c>
      <c r="H14" s="10">
        <f t="shared" si="0"/>
        <v>0</v>
      </c>
      <c r="I14" s="9">
        <f>COUNTIFS('Task list'!$B:$B,A14,'Task list'!$G:$G,"Có",'Task list'!$L:$L,"&lt;&gt;Xong")</f>
        <v>3</v>
      </c>
    </row>
    <row r="15" spans="1:9" x14ac:dyDescent="0.3">
      <c r="A15" s="7" t="s">
        <v>32</v>
      </c>
      <c r="B15" s="7"/>
      <c r="C15" s="8" t="s">
        <v>33</v>
      </c>
      <c r="D15" s="8" t="s">
        <v>34</v>
      </c>
      <c r="E15" s="8" t="s">
        <v>35</v>
      </c>
      <c r="F15" s="9">
        <f>COUNTIF('Task list'!$B:$B,A15)</f>
        <v>10</v>
      </c>
      <c r="G15" s="9">
        <f>COUNTIFS('Task list'!$B:$B,A15,'Task list'!$L:$L,"Xong")</f>
        <v>0</v>
      </c>
      <c r="H15" s="10">
        <f t="shared" si="0"/>
        <v>0</v>
      </c>
      <c r="I15" s="9">
        <f>COUNTIFS('Task list'!$B:$B,A15,'Task list'!$G:$G,"Có",'Task list'!$L:$L,"&lt;&gt;Xong")</f>
        <v>7</v>
      </c>
    </row>
    <row r="16" spans="1:9" x14ac:dyDescent="0.3">
      <c r="A16" s="3" t="s">
        <v>36</v>
      </c>
      <c r="F16" s="3">
        <f>SUM(F11:F15)</f>
        <v>36</v>
      </c>
      <c r="G16" s="3">
        <f>SUM(G11:G15)</f>
        <v>0</v>
      </c>
      <c r="H16" s="14">
        <f t="shared" si="0"/>
        <v>0</v>
      </c>
      <c r="I16" s="3">
        <f>SUM(I11:I15)</f>
        <v>22</v>
      </c>
    </row>
    <row r="18" spans="1:9" ht="15.6" x14ac:dyDescent="0.3">
      <c r="A18" s="15" t="s">
        <v>37</v>
      </c>
      <c r="B18" s="16"/>
      <c r="C18" s="16"/>
      <c r="D18" s="16"/>
      <c r="E18" s="16"/>
      <c r="F18" s="16"/>
      <c r="G18" s="16"/>
      <c r="H18" s="16"/>
      <c r="I18" s="16"/>
    </row>
    <row r="19" spans="1:9" x14ac:dyDescent="0.3">
      <c r="A19" s="17" t="s">
        <v>38</v>
      </c>
    </row>
    <row r="20" spans="1:9" x14ac:dyDescent="0.3">
      <c r="A20" s="17" t="s">
        <v>39</v>
      </c>
    </row>
    <row r="21" spans="1:9" x14ac:dyDescent="0.3">
      <c r="A21" s="17" t="s">
        <v>40</v>
      </c>
    </row>
    <row r="22" spans="1:9" x14ac:dyDescent="0.3">
      <c r="A22" s="17" t="s">
        <v>41</v>
      </c>
    </row>
    <row r="23" spans="1:9" x14ac:dyDescent="0.3">
      <c r="A23" s="17" t="s">
        <v>42</v>
      </c>
    </row>
    <row r="24" spans="1:9" x14ac:dyDescent="0.3">
      <c r="A24" s="18" t="s">
        <v>43</v>
      </c>
    </row>
  </sheetData>
  <conditionalFormatting sqref="H11:H16">
    <cfRule type="dataBar" priority="1">
      <dataBar>
        <cfvo type="num" val="0"/>
        <cfvo type="num" val="1"/>
        <color rgb="FF5B9BD5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"/>
  <sheetViews>
    <sheetView showGridLines="0" topLeftCell="A30" workbookViewId="0"/>
  </sheetViews>
  <sheetFormatPr defaultRowHeight="14.4" x14ac:dyDescent="0.3"/>
  <cols>
    <col min="1" max="1" width="6" customWidth="1"/>
    <col min="2" max="2" width="55" customWidth="1"/>
    <col min="3" max="3" width="80" customWidth="1"/>
  </cols>
  <sheetData>
    <row r="1" spans="1:3" ht="21" x14ac:dyDescent="0.4">
      <c r="A1" s="1" t="s">
        <v>44</v>
      </c>
    </row>
    <row r="3" spans="1:3" ht="15.6" x14ac:dyDescent="0.3">
      <c r="A3" s="15" t="s">
        <v>45</v>
      </c>
      <c r="B3" s="16"/>
      <c r="C3" s="16"/>
    </row>
    <row r="4" spans="1:3" x14ac:dyDescent="0.3">
      <c r="A4" s="5" t="s">
        <v>46</v>
      </c>
      <c r="B4" s="5" t="s">
        <v>47</v>
      </c>
      <c r="C4" s="5" t="s">
        <v>48</v>
      </c>
    </row>
    <row r="5" spans="1:3" ht="26.4" x14ac:dyDescent="0.3">
      <c r="A5" s="8" t="s">
        <v>49</v>
      </c>
      <c r="B5" s="8" t="s">
        <v>50</v>
      </c>
      <c r="C5" s="8" t="s">
        <v>51</v>
      </c>
    </row>
    <row r="6" spans="1:3" x14ac:dyDescent="0.3">
      <c r="A6" s="8" t="s">
        <v>52</v>
      </c>
      <c r="B6" s="8" t="s">
        <v>53</v>
      </c>
      <c r="C6" s="8" t="s">
        <v>54</v>
      </c>
    </row>
    <row r="7" spans="1:3" x14ac:dyDescent="0.3">
      <c r="A7" s="8" t="s">
        <v>55</v>
      </c>
      <c r="B7" s="8" t="s">
        <v>56</v>
      </c>
      <c r="C7" s="8" t="s">
        <v>57</v>
      </c>
    </row>
    <row r="9" spans="1:3" ht="15.6" x14ac:dyDescent="0.3">
      <c r="A9" s="15" t="s">
        <v>58</v>
      </c>
      <c r="B9" s="16"/>
      <c r="C9" s="16"/>
    </row>
    <row r="10" spans="1:3" ht="27.6" x14ac:dyDescent="0.3">
      <c r="A10" s="5" t="s">
        <v>59</v>
      </c>
      <c r="B10" s="5" t="s">
        <v>60</v>
      </c>
      <c r="C10" s="5" t="s">
        <v>61</v>
      </c>
    </row>
    <row r="11" spans="1:3" x14ac:dyDescent="0.3">
      <c r="A11" s="8" t="s">
        <v>49</v>
      </c>
      <c r="B11" s="8" t="s">
        <v>62</v>
      </c>
      <c r="C11" s="8" t="s">
        <v>63</v>
      </c>
    </row>
    <row r="12" spans="1:3" x14ac:dyDescent="0.3">
      <c r="A12" s="8" t="s">
        <v>52</v>
      </c>
      <c r="B12" s="8" t="s">
        <v>64</v>
      </c>
      <c r="C12" s="8" t="s">
        <v>65</v>
      </c>
    </row>
    <row r="13" spans="1:3" x14ac:dyDescent="0.3">
      <c r="A13" s="8" t="s">
        <v>55</v>
      </c>
      <c r="B13" s="8" t="s">
        <v>66</v>
      </c>
      <c r="C13" s="8" t="s">
        <v>67</v>
      </c>
    </row>
    <row r="14" spans="1:3" x14ac:dyDescent="0.3">
      <c r="A14" s="8" t="s">
        <v>68</v>
      </c>
      <c r="B14" s="8" t="s">
        <v>69</v>
      </c>
      <c r="C14" s="8" t="s">
        <v>70</v>
      </c>
    </row>
    <row r="15" spans="1:3" x14ac:dyDescent="0.3">
      <c r="A15" s="8" t="s">
        <v>71</v>
      </c>
      <c r="B15" s="8" t="s">
        <v>72</v>
      </c>
      <c r="C15" s="8" t="s">
        <v>73</v>
      </c>
    </row>
    <row r="16" spans="1:3" x14ac:dyDescent="0.3">
      <c r="A16" s="8" t="s">
        <v>74</v>
      </c>
      <c r="B16" s="8" t="s">
        <v>75</v>
      </c>
      <c r="C16" s="8" t="s">
        <v>76</v>
      </c>
    </row>
    <row r="17" spans="1:3" x14ac:dyDescent="0.3">
      <c r="A17" s="8" t="s">
        <v>77</v>
      </c>
      <c r="B17" s="8" t="s">
        <v>78</v>
      </c>
      <c r="C17" s="8" t="s">
        <v>79</v>
      </c>
    </row>
    <row r="19" spans="1:3" ht="15.6" x14ac:dyDescent="0.3">
      <c r="A19" s="15" t="s">
        <v>80</v>
      </c>
      <c r="B19" s="16"/>
      <c r="C19" s="16"/>
    </row>
    <row r="20" spans="1:3" x14ac:dyDescent="0.3">
      <c r="A20" s="5"/>
      <c r="B20" s="5" t="s">
        <v>81</v>
      </c>
      <c r="C20" s="5" t="s">
        <v>82</v>
      </c>
    </row>
    <row r="21" spans="1:3" ht="26.4" x14ac:dyDescent="0.3">
      <c r="A21" s="8" t="s">
        <v>83</v>
      </c>
      <c r="B21" s="8" t="s">
        <v>84</v>
      </c>
      <c r="C21" s="8" t="s">
        <v>85</v>
      </c>
    </row>
    <row r="22" spans="1:3" ht="26.4" x14ac:dyDescent="0.3">
      <c r="A22" s="8" t="s">
        <v>83</v>
      </c>
      <c r="B22" s="8" t="s">
        <v>86</v>
      </c>
      <c r="C22" s="8" t="s">
        <v>87</v>
      </c>
    </row>
    <row r="23" spans="1:3" ht="26.4" x14ac:dyDescent="0.3">
      <c r="A23" s="8" t="s">
        <v>88</v>
      </c>
      <c r="B23" s="8" t="s">
        <v>89</v>
      </c>
      <c r="C23" s="8" t="s">
        <v>90</v>
      </c>
    </row>
    <row r="24" spans="1:3" ht="26.4" x14ac:dyDescent="0.3">
      <c r="A24" s="8" t="s">
        <v>88</v>
      </c>
      <c r="B24" s="8" t="s">
        <v>91</v>
      </c>
      <c r="C24" s="8" t="s">
        <v>92</v>
      </c>
    </row>
    <row r="25" spans="1:3" x14ac:dyDescent="0.3">
      <c r="A25" s="8" t="s">
        <v>93</v>
      </c>
      <c r="B25" s="8" t="s">
        <v>94</v>
      </c>
      <c r="C25" s="8" t="s">
        <v>95</v>
      </c>
    </row>
    <row r="27" spans="1:3" ht="15.6" x14ac:dyDescent="0.3">
      <c r="A27" s="15" t="s">
        <v>96</v>
      </c>
      <c r="B27" s="16"/>
      <c r="C27" s="16"/>
    </row>
    <row r="28" spans="1:3" x14ac:dyDescent="0.3">
      <c r="A28" s="5" t="s">
        <v>81</v>
      </c>
      <c r="B28" s="5" t="s">
        <v>97</v>
      </c>
      <c r="C28" s="5" t="s">
        <v>61</v>
      </c>
    </row>
    <row r="29" spans="1:3" ht="132" x14ac:dyDescent="0.3">
      <c r="A29" s="8" t="s">
        <v>98</v>
      </c>
      <c r="B29" s="8" t="s">
        <v>99</v>
      </c>
      <c r="C29" s="8"/>
    </row>
    <row r="30" spans="1:3" ht="52.8" x14ac:dyDescent="0.3">
      <c r="A30" s="8" t="s">
        <v>100</v>
      </c>
      <c r="B30" s="8" t="s">
        <v>101</v>
      </c>
      <c r="C30" s="8" t="s">
        <v>102</v>
      </c>
    </row>
    <row r="31" spans="1:3" ht="52.8" x14ac:dyDescent="0.3">
      <c r="A31" s="8" t="s">
        <v>103</v>
      </c>
      <c r="B31" s="8" t="s">
        <v>104</v>
      </c>
      <c r="C31" s="8"/>
    </row>
    <row r="32" spans="1:3" ht="66" x14ac:dyDescent="0.3">
      <c r="A32" s="8" t="s">
        <v>105</v>
      </c>
      <c r="B32" s="8" t="s">
        <v>106</v>
      </c>
      <c r="C32" s="8" t="s">
        <v>107</v>
      </c>
    </row>
    <row r="34" spans="1:3" ht="15.6" x14ac:dyDescent="0.3">
      <c r="A34" s="15" t="s">
        <v>108</v>
      </c>
      <c r="B34" s="16"/>
      <c r="C34" s="16"/>
    </row>
    <row r="35" spans="1:3" x14ac:dyDescent="0.3">
      <c r="A35" s="5" t="s">
        <v>46</v>
      </c>
      <c r="B35" s="5" t="s">
        <v>109</v>
      </c>
      <c r="C35" s="5" t="s">
        <v>110</v>
      </c>
    </row>
    <row r="36" spans="1:3" x14ac:dyDescent="0.3">
      <c r="A36" s="8" t="s">
        <v>49</v>
      </c>
      <c r="B36" s="8" t="s">
        <v>111</v>
      </c>
      <c r="C36" s="8"/>
    </row>
    <row r="37" spans="1:3" x14ac:dyDescent="0.3">
      <c r="A37" s="8" t="s">
        <v>52</v>
      </c>
      <c r="B37" s="8" t="s">
        <v>112</v>
      </c>
      <c r="C37" s="8" t="s">
        <v>113</v>
      </c>
    </row>
    <row r="38" spans="1:3" x14ac:dyDescent="0.3">
      <c r="A38" s="8" t="s">
        <v>55</v>
      </c>
      <c r="B38" s="8" t="s">
        <v>114</v>
      </c>
      <c r="C38" s="8" t="s">
        <v>115</v>
      </c>
    </row>
    <row r="39" spans="1:3" x14ac:dyDescent="0.3">
      <c r="A39" s="8" t="s">
        <v>68</v>
      </c>
      <c r="B39" s="8" t="s">
        <v>116</v>
      </c>
      <c r="C39" s="8" t="s">
        <v>117</v>
      </c>
    </row>
    <row r="40" spans="1:3" x14ac:dyDescent="0.3">
      <c r="A40" s="8" t="s">
        <v>71</v>
      </c>
      <c r="B40" s="8" t="s">
        <v>118</v>
      </c>
      <c r="C40" s="8" t="s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showGridLines="0" workbookViewId="0">
      <pane ySplit="4" topLeftCell="A45" activePane="bottomLeft" state="frozen"/>
      <selection pane="bottomLeft"/>
    </sheetView>
  </sheetViews>
  <sheetFormatPr defaultRowHeight="14.4" x14ac:dyDescent="0.3"/>
  <cols>
    <col min="1" max="2" width="7" customWidth="1"/>
    <col min="3" max="3" width="9" customWidth="1"/>
    <col min="4" max="4" width="28" customWidth="1"/>
    <col min="5" max="5" width="55" customWidth="1"/>
    <col min="6" max="7" width="11" customWidth="1"/>
    <col min="8" max="8" width="13" customWidth="1"/>
    <col min="9" max="9" width="26" customWidth="1"/>
    <col min="10" max="10" width="13" customWidth="1"/>
    <col min="11" max="11" width="10" customWidth="1"/>
    <col min="12" max="12" width="13" customWidth="1"/>
    <col min="13" max="13" width="30" customWidth="1"/>
  </cols>
  <sheetData>
    <row r="1" spans="1:13" ht="21" x14ac:dyDescent="0.4">
      <c r="A1" s="1" t="s">
        <v>120</v>
      </c>
    </row>
    <row r="2" spans="1:13" x14ac:dyDescent="0.3">
      <c r="A2" s="2" t="s">
        <v>121</v>
      </c>
    </row>
    <row r="4" spans="1:13" ht="41.4" x14ac:dyDescent="0.3">
      <c r="A4" s="5" t="s">
        <v>122</v>
      </c>
      <c r="B4" s="5" t="s">
        <v>123</v>
      </c>
      <c r="C4" s="5" t="s">
        <v>124</v>
      </c>
      <c r="D4" s="5" t="s">
        <v>125</v>
      </c>
      <c r="E4" s="5" t="s">
        <v>126</v>
      </c>
      <c r="F4" s="5" t="s">
        <v>127</v>
      </c>
      <c r="G4" s="5" t="s">
        <v>128</v>
      </c>
      <c r="H4" s="5" t="s">
        <v>129</v>
      </c>
      <c r="I4" s="5" t="s">
        <v>130</v>
      </c>
      <c r="J4" s="5" t="s">
        <v>131</v>
      </c>
      <c r="K4" s="5" t="s">
        <v>132</v>
      </c>
      <c r="L4" s="5" t="s">
        <v>133</v>
      </c>
      <c r="M4" s="5" t="s">
        <v>61</v>
      </c>
    </row>
    <row r="5" spans="1:13" ht="26.4" x14ac:dyDescent="0.3">
      <c r="A5" s="8" t="s">
        <v>134</v>
      </c>
      <c r="B5" s="6" t="s">
        <v>16</v>
      </c>
      <c r="C5" s="8" t="s">
        <v>135</v>
      </c>
      <c r="D5" s="8" t="s">
        <v>136</v>
      </c>
      <c r="E5" s="8" t="s">
        <v>137</v>
      </c>
      <c r="F5" s="8" t="s">
        <v>138</v>
      </c>
      <c r="G5" s="8" t="s">
        <v>139</v>
      </c>
      <c r="H5" s="8" t="s">
        <v>140</v>
      </c>
      <c r="I5" s="8" t="s">
        <v>141</v>
      </c>
      <c r="J5" s="19">
        <v>46292.5</v>
      </c>
      <c r="K5" s="20" t="str">
        <f t="shared" ref="K5:K40" ca="1" si="0">IF(AND(L5&lt;&gt;"Xong",NOW()&gt;J5),"QUÁ HẠN","")</f>
        <v/>
      </c>
      <c r="L5" s="7" t="s">
        <v>142</v>
      </c>
      <c r="M5" s="7"/>
    </row>
    <row r="6" spans="1:13" ht="26.4" x14ac:dyDescent="0.3">
      <c r="A6" s="8" t="s">
        <v>143</v>
      </c>
      <c r="B6" s="6" t="s">
        <v>16</v>
      </c>
      <c r="C6" s="8" t="s">
        <v>135</v>
      </c>
      <c r="D6" s="8" t="s">
        <v>144</v>
      </c>
      <c r="E6" s="8" t="s">
        <v>145</v>
      </c>
      <c r="F6" s="8" t="s">
        <v>138</v>
      </c>
      <c r="G6" s="8" t="s">
        <v>146</v>
      </c>
      <c r="H6" s="8" t="s">
        <v>147</v>
      </c>
      <c r="I6" s="8" t="s">
        <v>148</v>
      </c>
      <c r="J6" s="19">
        <v>46292.5</v>
      </c>
      <c r="K6" s="20" t="str">
        <f t="shared" ca="1" si="0"/>
        <v/>
      </c>
      <c r="L6" s="7" t="s">
        <v>142</v>
      </c>
      <c r="M6" s="7"/>
    </row>
    <row r="7" spans="1:13" ht="26.4" x14ac:dyDescent="0.3">
      <c r="A7" s="8" t="s">
        <v>149</v>
      </c>
      <c r="B7" s="6" t="s">
        <v>16</v>
      </c>
      <c r="C7" s="8" t="s">
        <v>135</v>
      </c>
      <c r="D7" s="8" t="s">
        <v>150</v>
      </c>
      <c r="E7" s="8" t="s">
        <v>151</v>
      </c>
      <c r="F7" s="8" t="s">
        <v>152</v>
      </c>
      <c r="G7" s="8" t="s">
        <v>146</v>
      </c>
      <c r="H7" s="8" t="s">
        <v>71</v>
      </c>
      <c r="I7" s="8" t="s">
        <v>153</v>
      </c>
      <c r="J7" s="19">
        <v>46292.5</v>
      </c>
      <c r="K7" s="20" t="str">
        <f t="shared" ca="1" si="0"/>
        <v/>
      </c>
      <c r="L7" s="7" t="s">
        <v>142</v>
      </c>
      <c r="M7" s="7"/>
    </row>
    <row r="8" spans="1:13" x14ac:dyDescent="0.3">
      <c r="A8" s="8" t="s">
        <v>154</v>
      </c>
      <c r="B8" s="6" t="s">
        <v>16</v>
      </c>
      <c r="C8" s="8" t="s">
        <v>135</v>
      </c>
      <c r="D8" s="8" t="s">
        <v>155</v>
      </c>
      <c r="E8" s="8" t="s">
        <v>156</v>
      </c>
      <c r="F8" s="8" t="s">
        <v>157</v>
      </c>
      <c r="G8" s="8" t="s">
        <v>146</v>
      </c>
      <c r="H8" s="8" t="s">
        <v>77</v>
      </c>
      <c r="I8" s="8" t="s">
        <v>153</v>
      </c>
      <c r="J8" s="19">
        <v>46292.5</v>
      </c>
      <c r="K8" s="20" t="str">
        <f t="shared" ca="1" si="0"/>
        <v/>
      </c>
      <c r="L8" s="7" t="s">
        <v>142</v>
      </c>
      <c r="M8" s="7"/>
    </row>
    <row r="9" spans="1:13" x14ac:dyDescent="0.3">
      <c r="A9" s="8" t="s">
        <v>158</v>
      </c>
      <c r="B9" s="6" t="s">
        <v>16</v>
      </c>
      <c r="C9" s="8" t="s">
        <v>135</v>
      </c>
      <c r="D9" s="8" t="s">
        <v>159</v>
      </c>
      <c r="E9" s="8" t="s">
        <v>160</v>
      </c>
      <c r="F9" s="8" t="s">
        <v>152</v>
      </c>
      <c r="G9" s="8" t="s">
        <v>146</v>
      </c>
      <c r="H9" s="8" t="s">
        <v>77</v>
      </c>
      <c r="I9" s="8" t="s">
        <v>161</v>
      </c>
      <c r="J9" s="19">
        <v>46292.5</v>
      </c>
      <c r="K9" s="20" t="str">
        <f t="shared" ca="1" si="0"/>
        <v/>
      </c>
      <c r="L9" s="7" t="s">
        <v>142</v>
      </c>
      <c r="M9" s="7"/>
    </row>
    <row r="10" spans="1:13" x14ac:dyDescent="0.3">
      <c r="A10" s="8" t="s">
        <v>162</v>
      </c>
      <c r="B10" s="6" t="s">
        <v>16</v>
      </c>
      <c r="C10" s="8" t="s">
        <v>135</v>
      </c>
      <c r="D10" s="8" t="s">
        <v>163</v>
      </c>
      <c r="E10" s="8" t="s">
        <v>164</v>
      </c>
      <c r="F10" s="8" t="s">
        <v>152</v>
      </c>
      <c r="G10" s="8" t="s">
        <v>139</v>
      </c>
      <c r="H10" s="8" t="s">
        <v>68</v>
      </c>
      <c r="I10" s="8" t="s">
        <v>165</v>
      </c>
      <c r="J10" s="19">
        <v>46292.75</v>
      </c>
      <c r="K10" s="20" t="str">
        <f t="shared" ca="1" si="0"/>
        <v/>
      </c>
      <c r="L10" s="7" t="s">
        <v>142</v>
      </c>
      <c r="M10" s="7"/>
    </row>
    <row r="11" spans="1:13" ht="26.4" x14ac:dyDescent="0.3">
      <c r="A11" s="8" t="s">
        <v>166</v>
      </c>
      <c r="B11" s="6" t="s">
        <v>16</v>
      </c>
      <c r="C11" s="8" t="s">
        <v>135</v>
      </c>
      <c r="D11" s="8" t="s">
        <v>167</v>
      </c>
      <c r="E11" s="8" t="s">
        <v>168</v>
      </c>
      <c r="F11" s="8" t="s">
        <v>138</v>
      </c>
      <c r="G11" s="8" t="s">
        <v>139</v>
      </c>
      <c r="H11" s="8" t="s">
        <v>169</v>
      </c>
      <c r="I11" s="8" t="s">
        <v>170</v>
      </c>
      <c r="J11" s="19">
        <v>46292.75</v>
      </c>
      <c r="K11" s="20" t="str">
        <f t="shared" ca="1" si="0"/>
        <v/>
      </c>
      <c r="L11" s="7" t="s">
        <v>142</v>
      </c>
      <c r="M11" s="7"/>
    </row>
    <row r="12" spans="1:13" ht="26.4" x14ac:dyDescent="0.3">
      <c r="A12" s="8" t="s">
        <v>171</v>
      </c>
      <c r="B12" s="11" t="s">
        <v>20</v>
      </c>
      <c r="C12" s="8" t="s">
        <v>172</v>
      </c>
      <c r="D12" s="8" t="s">
        <v>173</v>
      </c>
      <c r="E12" s="8" t="s">
        <v>174</v>
      </c>
      <c r="F12" s="8" t="s">
        <v>138</v>
      </c>
      <c r="G12" s="8" t="s">
        <v>139</v>
      </c>
      <c r="H12" s="8" t="s">
        <v>175</v>
      </c>
      <c r="I12" s="8" t="s">
        <v>176</v>
      </c>
      <c r="J12" s="19">
        <v>46292.5</v>
      </c>
      <c r="K12" s="20" t="str">
        <f t="shared" ca="1" si="0"/>
        <v/>
      </c>
      <c r="L12" s="7" t="s">
        <v>142</v>
      </c>
      <c r="M12" s="7"/>
    </row>
    <row r="13" spans="1:13" ht="26.4" x14ac:dyDescent="0.3">
      <c r="A13" s="8" t="s">
        <v>177</v>
      </c>
      <c r="B13" s="11" t="s">
        <v>20</v>
      </c>
      <c r="C13" s="8" t="s">
        <v>172</v>
      </c>
      <c r="D13" s="8" t="s">
        <v>178</v>
      </c>
      <c r="E13" s="8" t="s">
        <v>179</v>
      </c>
      <c r="F13" s="8" t="s">
        <v>152</v>
      </c>
      <c r="G13" s="8" t="s">
        <v>146</v>
      </c>
      <c r="H13" s="8" t="s">
        <v>180</v>
      </c>
      <c r="I13" s="8" t="s">
        <v>181</v>
      </c>
      <c r="J13" s="19">
        <v>46292.5</v>
      </c>
      <c r="K13" s="20" t="str">
        <f t="shared" ca="1" si="0"/>
        <v/>
      </c>
      <c r="L13" s="7" t="s">
        <v>142</v>
      </c>
      <c r="M13" s="7"/>
    </row>
    <row r="14" spans="1:13" ht="26.4" x14ac:dyDescent="0.3">
      <c r="A14" s="8" t="s">
        <v>182</v>
      </c>
      <c r="B14" s="11" t="s">
        <v>20</v>
      </c>
      <c r="C14" s="8" t="s">
        <v>172</v>
      </c>
      <c r="D14" s="8" t="s">
        <v>183</v>
      </c>
      <c r="E14" s="8" t="s">
        <v>184</v>
      </c>
      <c r="F14" s="8" t="s">
        <v>138</v>
      </c>
      <c r="G14" s="8" t="s">
        <v>146</v>
      </c>
      <c r="H14" s="8" t="s">
        <v>185</v>
      </c>
      <c r="I14" s="8" t="s">
        <v>186</v>
      </c>
      <c r="J14" s="19">
        <v>46292.5</v>
      </c>
      <c r="K14" s="20" t="str">
        <f t="shared" ca="1" si="0"/>
        <v/>
      </c>
      <c r="L14" s="7" t="s">
        <v>142</v>
      </c>
      <c r="M14" s="7"/>
    </row>
    <row r="15" spans="1:13" x14ac:dyDescent="0.3">
      <c r="A15" s="8" t="s">
        <v>187</v>
      </c>
      <c r="B15" s="11" t="s">
        <v>20</v>
      </c>
      <c r="C15" s="8" t="s">
        <v>172</v>
      </c>
      <c r="D15" s="8" t="s">
        <v>188</v>
      </c>
      <c r="E15" s="8" t="s">
        <v>189</v>
      </c>
      <c r="F15" s="8" t="s">
        <v>157</v>
      </c>
      <c r="G15" s="8" t="s">
        <v>146</v>
      </c>
      <c r="H15" s="8" t="s">
        <v>190</v>
      </c>
      <c r="I15" s="8" t="s">
        <v>191</v>
      </c>
      <c r="J15" s="19">
        <v>46292.5</v>
      </c>
      <c r="K15" s="20" t="str">
        <f t="shared" ca="1" si="0"/>
        <v/>
      </c>
      <c r="L15" s="7" t="s">
        <v>142</v>
      </c>
      <c r="M15" s="7"/>
    </row>
    <row r="16" spans="1:13" x14ac:dyDescent="0.3">
      <c r="A16" s="8" t="s">
        <v>192</v>
      </c>
      <c r="B16" s="11" t="s">
        <v>20</v>
      </c>
      <c r="C16" s="8" t="s">
        <v>172</v>
      </c>
      <c r="D16" s="8" t="s">
        <v>167</v>
      </c>
      <c r="E16" s="8" t="s">
        <v>193</v>
      </c>
      <c r="F16" s="8" t="s">
        <v>138</v>
      </c>
      <c r="G16" s="8" t="s">
        <v>139</v>
      </c>
      <c r="H16" s="8" t="s">
        <v>194</v>
      </c>
      <c r="I16" s="8" t="s">
        <v>170</v>
      </c>
      <c r="J16" s="19">
        <v>46292.75</v>
      </c>
      <c r="K16" s="20" t="str">
        <f t="shared" ca="1" si="0"/>
        <v/>
      </c>
      <c r="L16" s="7" t="s">
        <v>142</v>
      </c>
      <c r="M16" s="7"/>
    </row>
    <row r="17" spans="1:13" ht="26.4" x14ac:dyDescent="0.3">
      <c r="A17" s="8" t="s">
        <v>195</v>
      </c>
      <c r="B17" s="12" t="s">
        <v>24</v>
      </c>
      <c r="C17" s="8" t="s">
        <v>196</v>
      </c>
      <c r="D17" s="8" t="s">
        <v>197</v>
      </c>
      <c r="E17" s="8" t="s">
        <v>198</v>
      </c>
      <c r="F17" s="8" t="s">
        <v>138</v>
      </c>
      <c r="G17" s="8" t="s">
        <v>139</v>
      </c>
      <c r="H17" s="8" t="s">
        <v>199</v>
      </c>
      <c r="I17" s="8" t="s">
        <v>200</v>
      </c>
      <c r="J17" s="19">
        <v>46292.5</v>
      </c>
      <c r="K17" s="20" t="str">
        <f t="shared" ca="1" si="0"/>
        <v/>
      </c>
      <c r="L17" s="7" t="s">
        <v>142</v>
      </c>
      <c r="M17" s="7"/>
    </row>
    <row r="18" spans="1:13" x14ac:dyDescent="0.3">
      <c r="A18" s="8" t="s">
        <v>201</v>
      </c>
      <c r="B18" s="12" t="s">
        <v>24</v>
      </c>
      <c r="C18" s="8" t="s">
        <v>196</v>
      </c>
      <c r="D18" s="8" t="s">
        <v>202</v>
      </c>
      <c r="E18" s="8" t="s">
        <v>203</v>
      </c>
      <c r="F18" s="8" t="s">
        <v>138</v>
      </c>
      <c r="G18" s="8" t="s">
        <v>139</v>
      </c>
      <c r="H18" s="8" t="s">
        <v>199</v>
      </c>
      <c r="I18" s="8" t="s">
        <v>204</v>
      </c>
      <c r="J18" s="19">
        <v>46292.5</v>
      </c>
      <c r="K18" s="20" t="str">
        <f t="shared" ca="1" si="0"/>
        <v/>
      </c>
      <c r="L18" s="7" t="s">
        <v>142</v>
      </c>
      <c r="M18" s="7"/>
    </row>
    <row r="19" spans="1:13" x14ac:dyDescent="0.3">
      <c r="A19" s="8" t="s">
        <v>205</v>
      </c>
      <c r="B19" s="12" t="s">
        <v>24</v>
      </c>
      <c r="C19" s="8" t="s">
        <v>196</v>
      </c>
      <c r="D19" s="8" t="s">
        <v>206</v>
      </c>
      <c r="E19" s="8" t="s">
        <v>207</v>
      </c>
      <c r="F19" s="8" t="s">
        <v>152</v>
      </c>
      <c r="G19" s="8" t="s">
        <v>139</v>
      </c>
      <c r="H19" s="8" t="s">
        <v>208</v>
      </c>
      <c r="I19" s="8" t="s">
        <v>209</v>
      </c>
      <c r="J19" s="19">
        <v>46292.5</v>
      </c>
      <c r="K19" s="20" t="str">
        <f t="shared" ca="1" si="0"/>
        <v/>
      </c>
      <c r="L19" s="7" t="s">
        <v>142</v>
      </c>
      <c r="M19" s="7"/>
    </row>
    <row r="20" spans="1:13" ht="26.4" x14ac:dyDescent="0.3">
      <c r="A20" s="8" t="s">
        <v>210</v>
      </c>
      <c r="B20" s="12" t="s">
        <v>24</v>
      </c>
      <c r="C20" s="8" t="s">
        <v>196</v>
      </c>
      <c r="D20" s="8" t="s">
        <v>211</v>
      </c>
      <c r="E20" s="8" t="s">
        <v>212</v>
      </c>
      <c r="F20" s="8" t="s">
        <v>138</v>
      </c>
      <c r="G20" s="8" t="s">
        <v>139</v>
      </c>
      <c r="H20" s="8" t="s">
        <v>208</v>
      </c>
      <c r="I20" s="8" t="s">
        <v>213</v>
      </c>
      <c r="J20" s="19">
        <v>46292.5</v>
      </c>
      <c r="K20" s="20" t="str">
        <f t="shared" ca="1" si="0"/>
        <v/>
      </c>
      <c r="L20" s="7" t="s">
        <v>142</v>
      </c>
      <c r="M20" s="7"/>
    </row>
    <row r="21" spans="1:13" x14ac:dyDescent="0.3">
      <c r="A21" s="8" t="s">
        <v>214</v>
      </c>
      <c r="B21" s="12" t="s">
        <v>24</v>
      </c>
      <c r="C21" s="8" t="s">
        <v>196</v>
      </c>
      <c r="D21" s="8" t="s">
        <v>215</v>
      </c>
      <c r="E21" s="8" t="s">
        <v>216</v>
      </c>
      <c r="F21" s="8" t="s">
        <v>138</v>
      </c>
      <c r="G21" s="8" t="s">
        <v>139</v>
      </c>
      <c r="H21" s="8" t="s">
        <v>217</v>
      </c>
      <c r="I21" s="8" t="s">
        <v>218</v>
      </c>
      <c r="J21" s="19">
        <v>46292.5</v>
      </c>
      <c r="K21" s="20" t="str">
        <f t="shared" ca="1" si="0"/>
        <v/>
      </c>
      <c r="L21" s="7" t="s">
        <v>142</v>
      </c>
      <c r="M21" s="7"/>
    </row>
    <row r="22" spans="1:13" x14ac:dyDescent="0.3">
      <c r="A22" s="8" t="s">
        <v>219</v>
      </c>
      <c r="B22" s="12" t="s">
        <v>24</v>
      </c>
      <c r="C22" s="8" t="s">
        <v>196</v>
      </c>
      <c r="D22" s="8" t="s">
        <v>220</v>
      </c>
      <c r="E22" s="8" t="s">
        <v>221</v>
      </c>
      <c r="F22" s="8" t="s">
        <v>152</v>
      </c>
      <c r="G22" s="8" t="s">
        <v>139</v>
      </c>
      <c r="H22" s="8" t="s">
        <v>222</v>
      </c>
      <c r="I22" s="8" t="s">
        <v>223</v>
      </c>
      <c r="J22" s="19">
        <v>46292.75</v>
      </c>
      <c r="K22" s="20" t="str">
        <f t="shared" ca="1" si="0"/>
        <v/>
      </c>
      <c r="L22" s="7" t="s">
        <v>142</v>
      </c>
      <c r="M22" s="7"/>
    </row>
    <row r="23" spans="1:13" x14ac:dyDescent="0.3">
      <c r="A23" s="8" t="s">
        <v>224</v>
      </c>
      <c r="B23" s="12" t="s">
        <v>24</v>
      </c>
      <c r="C23" s="8" t="s">
        <v>196</v>
      </c>
      <c r="D23" s="8" t="s">
        <v>167</v>
      </c>
      <c r="E23" s="8" t="s">
        <v>225</v>
      </c>
      <c r="F23" s="8" t="s">
        <v>138</v>
      </c>
      <c r="G23" s="8" t="s">
        <v>139</v>
      </c>
      <c r="H23" s="8" t="s">
        <v>222</v>
      </c>
      <c r="I23" s="8" t="s">
        <v>170</v>
      </c>
      <c r="J23" s="19">
        <v>46292.75</v>
      </c>
      <c r="K23" s="20" t="str">
        <f t="shared" ca="1" si="0"/>
        <v/>
      </c>
      <c r="L23" s="7" t="s">
        <v>142</v>
      </c>
      <c r="M23" s="7"/>
    </row>
    <row r="24" spans="1:13" ht="26.4" x14ac:dyDescent="0.3">
      <c r="A24" s="8" t="s">
        <v>226</v>
      </c>
      <c r="B24" s="13" t="s">
        <v>28</v>
      </c>
      <c r="C24" s="8" t="s">
        <v>227</v>
      </c>
      <c r="D24" s="8" t="s">
        <v>228</v>
      </c>
      <c r="E24" s="8" t="s">
        <v>229</v>
      </c>
      <c r="F24" s="8" t="s">
        <v>138</v>
      </c>
      <c r="G24" s="8" t="s">
        <v>139</v>
      </c>
      <c r="H24" s="8" t="s">
        <v>230</v>
      </c>
      <c r="I24" s="8" t="s">
        <v>231</v>
      </c>
      <c r="J24" s="19">
        <v>46292.5</v>
      </c>
      <c r="K24" s="20" t="str">
        <f t="shared" ca="1" si="0"/>
        <v/>
      </c>
      <c r="L24" s="7" t="s">
        <v>142</v>
      </c>
      <c r="M24" s="7"/>
    </row>
    <row r="25" spans="1:13" x14ac:dyDescent="0.3">
      <c r="A25" s="8" t="s">
        <v>232</v>
      </c>
      <c r="B25" s="13" t="s">
        <v>28</v>
      </c>
      <c r="C25" s="8" t="s">
        <v>227</v>
      </c>
      <c r="D25" s="8" t="s">
        <v>233</v>
      </c>
      <c r="E25" s="8" t="s">
        <v>234</v>
      </c>
      <c r="F25" s="8" t="s">
        <v>138</v>
      </c>
      <c r="G25" s="8" t="s">
        <v>146</v>
      </c>
      <c r="H25" s="8" t="s">
        <v>235</v>
      </c>
      <c r="I25" s="8" t="s">
        <v>236</v>
      </c>
      <c r="J25" s="19">
        <v>46292.5</v>
      </c>
      <c r="K25" s="20" t="str">
        <f t="shared" ca="1" si="0"/>
        <v/>
      </c>
      <c r="L25" s="7" t="s">
        <v>142</v>
      </c>
      <c r="M25" s="7"/>
    </row>
    <row r="26" spans="1:13" ht="26.4" x14ac:dyDescent="0.3">
      <c r="A26" s="8" t="s">
        <v>237</v>
      </c>
      <c r="B26" s="13" t="s">
        <v>28</v>
      </c>
      <c r="C26" s="8" t="s">
        <v>227</v>
      </c>
      <c r="D26" s="8" t="s">
        <v>238</v>
      </c>
      <c r="E26" s="8" t="s">
        <v>239</v>
      </c>
      <c r="F26" s="8" t="s">
        <v>152</v>
      </c>
      <c r="G26" s="8" t="s">
        <v>146</v>
      </c>
      <c r="H26" s="8" t="s">
        <v>240</v>
      </c>
      <c r="I26" s="8" t="s">
        <v>241</v>
      </c>
      <c r="J26" s="19">
        <v>46292.5</v>
      </c>
      <c r="K26" s="20" t="str">
        <f t="shared" ca="1" si="0"/>
        <v/>
      </c>
      <c r="L26" s="7" t="s">
        <v>142</v>
      </c>
      <c r="M26" s="7"/>
    </row>
    <row r="27" spans="1:13" x14ac:dyDescent="0.3">
      <c r="A27" s="8" t="s">
        <v>242</v>
      </c>
      <c r="B27" s="13" t="s">
        <v>28</v>
      </c>
      <c r="C27" s="8" t="s">
        <v>227</v>
      </c>
      <c r="D27" s="8" t="s">
        <v>243</v>
      </c>
      <c r="E27" s="8" t="s">
        <v>244</v>
      </c>
      <c r="F27" s="8" t="s">
        <v>152</v>
      </c>
      <c r="G27" s="8" t="s">
        <v>146</v>
      </c>
      <c r="H27" s="8" t="s">
        <v>245</v>
      </c>
      <c r="I27" s="8" t="s">
        <v>153</v>
      </c>
      <c r="J27" s="19">
        <v>46292.5</v>
      </c>
      <c r="K27" s="20" t="str">
        <f t="shared" ca="1" si="0"/>
        <v/>
      </c>
      <c r="L27" s="7" t="s">
        <v>142</v>
      </c>
      <c r="M27" s="7"/>
    </row>
    <row r="28" spans="1:13" ht="26.4" x14ac:dyDescent="0.3">
      <c r="A28" s="8" t="s">
        <v>246</v>
      </c>
      <c r="B28" s="13" t="s">
        <v>28</v>
      </c>
      <c r="C28" s="8" t="s">
        <v>227</v>
      </c>
      <c r="D28" s="8" t="s">
        <v>247</v>
      </c>
      <c r="E28" s="8" t="s">
        <v>248</v>
      </c>
      <c r="F28" s="8" t="s">
        <v>152</v>
      </c>
      <c r="G28" s="8" t="s">
        <v>146</v>
      </c>
      <c r="H28" s="8" t="s">
        <v>245</v>
      </c>
      <c r="I28" s="8" t="s">
        <v>249</v>
      </c>
      <c r="J28" s="19">
        <v>46292.75</v>
      </c>
      <c r="K28" s="20" t="str">
        <f t="shared" ca="1" si="0"/>
        <v/>
      </c>
      <c r="L28" s="7" t="s">
        <v>142</v>
      </c>
      <c r="M28" s="7"/>
    </row>
    <row r="29" spans="1:13" x14ac:dyDescent="0.3">
      <c r="A29" s="8" t="s">
        <v>250</v>
      </c>
      <c r="B29" s="13" t="s">
        <v>28</v>
      </c>
      <c r="C29" s="8" t="s">
        <v>227</v>
      </c>
      <c r="D29" s="8" t="s">
        <v>251</v>
      </c>
      <c r="E29" s="8" t="s">
        <v>252</v>
      </c>
      <c r="F29" s="8" t="s">
        <v>138</v>
      </c>
      <c r="G29" s="8" t="s">
        <v>139</v>
      </c>
      <c r="H29" s="8" t="s">
        <v>253</v>
      </c>
      <c r="I29" s="8" t="s">
        <v>165</v>
      </c>
      <c r="J29" s="19">
        <v>46292.75</v>
      </c>
      <c r="K29" s="20" t="str">
        <f t="shared" ca="1" si="0"/>
        <v/>
      </c>
      <c r="L29" s="7" t="s">
        <v>142</v>
      </c>
      <c r="M29" s="7"/>
    </row>
    <row r="30" spans="1:13" x14ac:dyDescent="0.3">
      <c r="A30" s="8" t="s">
        <v>254</v>
      </c>
      <c r="B30" s="13" t="s">
        <v>28</v>
      </c>
      <c r="C30" s="8" t="s">
        <v>227</v>
      </c>
      <c r="D30" s="8" t="s">
        <v>167</v>
      </c>
      <c r="E30" s="8" t="s">
        <v>255</v>
      </c>
      <c r="F30" s="8" t="s">
        <v>138</v>
      </c>
      <c r="G30" s="8" t="s">
        <v>139</v>
      </c>
      <c r="H30" s="8" t="s">
        <v>256</v>
      </c>
      <c r="I30" s="8" t="s">
        <v>170</v>
      </c>
      <c r="J30" s="19">
        <v>46292.75</v>
      </c>
      <c r="K30" s="20" t="str">
        <f t="shared" ca="1" si="0"/>
        <v/>
      </c>
      <c r="L30" s="7" t="s">
        <v>142</v>
      </c>
      <c r="M30" s="7"/>
    </row>
    <row r="31" spans="1:13" ht="26.4" x14ac:dyDescent="0.3">
      <c r="A31" s="8" t="s">
        <v>257</v>
      </c>
      <c r="B31" s="7" t="s">
        <v>32</v>
      </c>
      <c r="C31" s="8" t="s">
        <v>258</v>
      </c>
      <c r="D31" s="8" t="s">
        <v>259</v>
      </c>
      <c r="E31" s="8" t="s">
        <v>260</v>
      </c>
      <c r="F31" s="8" t="s">
        <v>138</v>
      </c>
      <c r="G31" s="8" t="s">
        <v>146</v>
      </c>
      <c r="H31" s="8" t="s">
        <v>261</v>
      </c>
      <c r="I31" s="8" t="s">
        <v>262</v>
      </c>
      <c r="J31" s="19">
        <v>46292.75</v>
      </c>
      <c r="K31" s="20" t="str">
        <f t="shared" ca="1" si="0"/>
        <v/>
      </c>
      <c r="L31" s="7" t="s">
        <v>142</v>
      </c>
      <c r="M31" s="7"/>
    </row>
    <row r="32" spans="1:13" x14ac:dyDescent="0.3">
      <c r="A32" s="8" t="s">
        <v>263</v>
      </c>
      <c r="B32" s="7" t="s">
        <v>32</v>
      </c>
      <c r="C32" s="8" t="s">
        <v>258</v>
      </c>
      <c r="D32" s="8" t="s">
        <v>264</v>
      </c>
      <c r="E32" s="8" t="s">
        <v>265</v>
      </c>
      <c r="F32" s="8" t="s">
        <v>138</v>
      </c>
      <c r="G32" s="8" t="s">
        <v>146</v>
      </c>
      <c r="H32" s="8" t="s">
        <v>266</v>
      </c>
      <c r="I32" s="8" t="s">
        <v>165</v>
      </c>
      <c r="J32" s="19">
        <v>46292.75</v>
      </c>
      <c r="K32" s="20" t="str">
        <f t="shared" ca="1" si="0"/>
        <v/>
      </c>
      <c r="L32" s="7" t="s">
        <v>142</v>
      </c>
      <c r="M32" s="7"/>
    </row>
    <row r="33" spans="1:13" ht="26.4" x14ac:dyDescent="0.3">
      <c r="A33" s="8" t="s">
        <v>267</v>
      </c>
      <c r="B33" s="7" t="s">
        <v>32</v>
      </c>
      <c r="C33" s="8" t="s">
        <v>258</v>
      </c>
      <c r="D33" s="8" t="s">
        <v>268</v>
      </c>
      <c r="E33" s="8" t="s">
        <v>269</v>
      </c>
      <c r="F33" s="8" t="s">
        <v>152</v>
      </c>
      <c r="G33" s="8" t="s">
        <v>146</v>
      </c>
      <c r="H33" s="8" t="s">
        <v>266</v>
      </c>
      <c r="I33" s="8" t="s">
        <v>165</v>
      </c>
      <c r="J33" s="19">
        <v>46292.75</v>
      </c>
      <c r="K33" s="20" t="str">
        <f t="shared" ca="1" si="0"/>
        <v/>
      </c>
      <c r="L33" s="7" t="s">
        <v>142</v>
      </c>
      <c r="M33" s="7"/>
    </row>
    <row r="34" spans="1:13" ht="26.4" x14ac:dyDescent="0.3">
      <c r="A34" s="8" t="s">
        <v>270</v>
      </c>
      <c r="B34" s="7" t="s">
        <v>32</v>
      </c>
      <c r="C34" s="8" t="s">
        <v>258</v>
      </c>
      <c r="D34" s="8" t="s">
        <v>271</v>
      </c>
      <c r="E34" s="8" t="s">
        <v>272</v>
      </c>
      <c r="F34" s="8" t="s">
        <v>138</v>
      </c>
      <c r="G34" s="8" t="s">
        <v>139</v>
      </c>
      <c r="H34" s="8" t="s">
        <v>273</v>
      </c>
      <c r="I34" s="8" t="s">
        <v>274</v>
      </c>
      <c r="J34" s="19">
        <v>46292.958333333343</v>
      </c>
      <c r="K34" s="20" t="str">
        <f t="shared" ca="1" si="0"/>
        <v/>
      </c>
      <c r="L34" s="7" t="s">
        <v>142</v>
      </c>
      <c r="M34" s="7"/>
    </row>
    <row r="35" spans="1:13" x14ac:dyDescent="0.3">
      <c r="A35" s="8" t="s">
        <v>275</v>
      </c>
      <c r="B35" s="7" t="s">
        <v>32</v>
      </c>
      <c r="C35" s="8" t="s">
        <v>258</v>
      </c>
      <c r="D35" s="8" t="s">
        <v>276</v>
      </c>
      <c r="E35" s="8" t="s">
        <v>277</v>
      </c>
      <c r="F35" s="8" t="s">
        <v>138</v>
      </c>
      <c r="G35" s="8" t="s">
        <v>139</v>
      </c>
      <c r="H35" s="8" t="s">
        <v>278</v>
      </c>
      <c r="I35" s="8" t="s">
        <v>230</v>
      </c>
      <c r="J35" s="19">
        <v>46293.5</v>
      </c>
      <c r="K35" s="20" t="str">
        <f t="shared" ca="1" si="0"/>
        <v/>
      </c>
      <c r="L35" s="7" t="s">
        <v>142</v>
      </c>
      <c r="M35" s="7"/>
    </row>
    <row r="36" spans="1:13" x14ac:dyDescent="0.3">
      <c r="A36" s="8" t="s">
        <v>279</v>
      </c>
      <c r="B36" s="7" t="s">
        <v>32</v>
      </c>
      <c r="C36" s="8" t="s">
        <v>280</v>
      </c>
      <c r="D36" s="8" t="s">
        <v>281</v>
      </c>
      <c r="E36" s="8" t="s">
        <v>282</v>
      </c>
      <c r="F36" s="8" t="s">
        <v>138</v>
      </c>
      <c r="G36" s="8" t="s">
        <v>139</v>
      </c>
      <c r="H36" s="8" t="s">
        <v>278</v>
      </c>
      <c r="I36" s="8" t="s">
        <v>283</v>
      </c>
      <c r="J36" s="19">
        <v>46292.958333333343</v>
      </c>
      <c r="K36" s="20" t="str">
        <f t="shared" ca="1" si="0"/>
        <v/>
      </c>
      <c r="L36" s="7" t="s">
        <v>142</v>
      </c>
      <c r="M36" s="7"/>
    </row>
    <row r="37" spans="1:13" ht="26.4" x14ac:dyDescent="0.3">
      <c r="A37" s="8" t="s">
        <v>284</v>
      </c>
      <c r="B37" s="7" t="s">
        <v>32</v>
      </c>
      <c r="C37" s="8" t="s">
        <v>280</v>
      </c>
      <c r="D37" s="8" t="s">
        <v>285</v>
      </c>
      <c r="E37" s="8" t="s">
        <v>286</v>
      </c>
      <c r="F37" s="8" t="s">
        <v>138</v>
      </c>
      <c r="G37" s="8" t="s">
        <v>139</v>
      </c>
      <c r="H37" s="8" t="s">
        <v>287</v>
      </c>
      <c r="I37" s="8" t="s">
        <v>288</v>
      </c>
      <c r="J37" s="19">
        <v>46292.958333333343</v>
      </c>
      <c r="K37" s="20" t="str">
        <f t="shared" ca="1" si="0"/>
        <v/>
      </c>
      <c r="L37" s="7" t="s">
        <v>142</v>
      </c>
      <c r="M37" s="7"/>
    </row>
    <row r="38" spans="1:13" x14ac:dyDescent="0.3">
      <c r="A38" s="8" t="s">
        <v>289</v>
      </c>
      <c r="B38" s="7" t="s">
        <v>32</v>
      </c>
      <c r="C38" s="8" t="s">
        <v>280</v>
      </c>
      <c r="D38" s="8" t="s">
        <v>290</v>
      </c>
      <c r="E38" s="8" t="s">
        <v>291</v>
      </c>
      <c r="F38" s="8" t="s">
        <v>138</v>
      </c>
      <c r="G38" s="8" t="s">
        <v>139</v>
      </c>
      <c r="H38" s="8" t="s">
        <v>292</v>
      </c>
      <c r="I38" s="8" t="s">
        <v>230</v>
      </c>
      <c r="J38" s="19">
        <v>46293.5</v>
      </c>
      <c r="K38" s="20" t="str">
        <f t="shared" ca="1" si="0"/>
        <v/>
      </c>
      <c r="L38" s="7" t="s">
        <v>142</v>
      </c>
      <c r="M38" s="7"/>
    </row>
    <row r="39" spans="1:13" ht="26.4" x14ac:dyDescent="0.3">
      <c r="A39" s="8" t="s">
        <v>293</v>
      </c>
      <c r="B39" s="7" t="s">
        <v>32</v>
      </c>
      <c r="C39" s="8" t="s">
        <v>280</v>
      </c>
      <c r="D39" s="8" t="s">
        <v>294</v>
      </c>
      <c r="E39" s="8" t="s">
        <v>295</v>
      </c>
      <c r="F39" s="8" t="s">
        <v>138</v>
      </c>
      <c r="G39" s="8" t="s">
        <v>139</v>
      </c>
      <c r="H39" s="8" t="s">
        <v>278</v>
      </c>
      <c r="I39" s="8" t="s">
        <v>296</v>
      </c>
      <c r="J39" s="19">
        <v>46293.75</v>
      </c>
      <c r="K39" s="20" t="str">
        <f t="shared" ca="1" si="0"/>
        <v/>
      </c>
      <c r="L39" s="7" t="s">
        <v>142</v>
      </c>
      <c r="M39" s="7"/>
    </row>
    <row r="40" spans="1:13" x14ac:dyDescent="0.3">
      <c r="A40" s="8" t="s">
        <v>297</v>
      </c>
      <c r="B40" s="7" t="s">
        <v>32</v>
      </c>
      <c r="C40" s="8" t="s">
        <v>298</v>
      </c>
      <c r="D40" s="8" t="s">
        <v>299</v>
      </c>
      <c r="E40" s="8" t="s">
        <v>300</v>
      </c>
      <c r="F40" s="8" t="s">
        <v>138</v>
      </c>
      <c r="G40" s="8" t="s">
        <v>139</v>
      </c>
      <c r="H40" s="8" t="s">
        <v>230</v>
      </c>
      <c r="I40" s="8" t="s">
        <v>301</v>
      </c>
      <c r="J40" s="19">
        <v>46293.833333333343</v>
      </c>
      <c r="K40" s="20" t="str">
        <f t="shared" ca="1" si="0"/>
        <v/>
      </c>
      <c r="L40" s="7" t="s">
        <v>142</v>
      </c>
      <c r="M40" s="7"/>
    </row>
  </sheetData>
  <autoFilter ref="A4:M40" xr:uid="{00000000-0009-0000-0000-000002000000}"/>
  <conditionalFormatting sqref="L5:L40">
    <cfRule type="cellIs" dxfId="3" priority="1" operator="equal">
      <formula>"Xong"</formula>
    </cfRule>
    <cfRule type="cellIs" dxfId="2" priority="2" operator="equal">
      <formula>"Đang làm"</formula>
    </cfRule>
    <cfRule type="cellIs" dxfId="1" priority="3" operator="equal">
      <formula>"Bị chặn"</formula>
    </cfRule>
    <cfRule type="cellIs" dxfId="0" priority="4" operator="equal">
      <formula>"Chờ review"</formula>
    </cfRule>
  </conditionalFormatting>
  <dataValidations count="1">
    <dataValidation type="list" sqref="L5:L40" xr:uid="{00000000-0002-0000-0200-000000000000}">
      <formula1>"Chưa làm,Đang làm,Chờ review,Xong,Bị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DEBF7"/>
  </sheetPr>
  <dimension ref="A1:E12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8" customWidth="1"/>
    <col min="2" max="2" width="30" customWidth="1"/>
    <col min="3" max="3" width="65" customWidth="1"/>
    <col min="4" max="4" width="70" customWidth="1"/>
    <col min="5" max="5" width="26" customWidth="1"/>
  </cols>
  <sheetData>
    <row r="1" spans="1:5" ht="21" x14ac:dyDescent="0.4">
      <c r="A1" s="1" t="s">
        <v>302</v>
      </c>
    </row>
    <row r="2" spans="1:5" x14ac:dyDescent="0.3">
      <c r="A2" s="2" t="s">
        <v>303</v>
      </c>
    </row>
    <row r="3" spans="1:5" ht="31.95" customHeight="1" x14ac:dyDescent="0.3">
      <c r="A3" s="3" t="s">
        <v>304</v>
      </c>
      <c r="B3" s="25" t="s">
        <v>305</v>
      </c>
      <c r="C3" s="26"/>
      <c r="D3" s="26"/>
      <c r="E3" s="26"/>
    </row>
    <row r="5" spans="1:5" x14ac:dyDescent="0.3">
      <c r="A5" s="5" t="s">
        <v>122</v>
      </c>
      <c r="B5" s="5" t="s">
        <v>306</v>
      </c>
      <c r="C5" s="5" t="s">
        <v>307</v>
      </c>
      <c r="D5" s="5" t="s">
        <v>308</v>
      </c>
      <c r="E5" s="5" t="s">
        <v>309</v>
      </c>
    </row>
    <row r="6" spans="1:5" ht="105.6" x14ac:dyDescent="0.3">
      <c r="A6" s="8" t="s">
        <v>134</v>
      </c>
      <c r="B6" s="8" t="s">
        <v>310</v>
      </c>
      <c r="C6" s="8" t="s">
        <v>311</v>
      </c>
      <c r="D6" s="21" t="s">
        <v>312</v>
      </c>
      <c r="E6" s="8" t="s">
        <v>313</v>
      </c>
    </row>
    <row r="7" spans="1:5" ht="66" x14ac:dyDescent="0.3">
      <c r="A7" s="8" t="s">
        <v>143</v>
      </c>
      <c r="B7" s="8" t="s">
        <v>144</v>
      </c>
      <c r="C7" s="8" t="s">
        <v>314</v>
      </c>
      <c r="D7" s="21" t="s">
        <v>315</v>
      </c>
      <c r="E7" s="8" t="s">
        <v>316</v>
      </c>
    </row>
    <row r="8" spans="1:5" ht="52.8" x14ac:dyDescent="0.3">
      <c r="A8" s="8" t="s">
        <v>149</v>
      </c>
      <c r="B8" s="8" t="s">
        <v>317</v>
      </c>
      <c r="C8" s="8" t="s">
        <v>318</v>
      </c>
      <c r="D8" s="21" t="s">
        <v>319</v>
      </c>
      <c r="E8" s="8" t="s">
        <v>320</v>
      </c>
    </row>
    <row r="9" spans="1:5" ht="26.4" x14ac:dyDescent="0.3">
      <c r="A9" s="8" t="s">
        <v>154</v>
      </c>
      <c r="B9" s="8" t="s">
        <v>155</v>
      </c>
      <c r="C9" s="8" t="s">
        <v>321</v>
      </c>
      <c r="D9" s="21" t="s">
        <v>322</v>
      </c>
      <c r="E9" s="8" t="s">
        <v>323</v>
      </c>
    </row>
    <row r="10" spans="1:5" ht="52.8" x14ac:dyDescent="0.3">
      <c r="A10" s="8" t="s">
        <v>158</v>
      </c>
      <c r="B10" s="8" t="s">
        <v>324</v>
      </c>
      <c r="C10" s="8" t="s">
        <v>325</v>
      </c>
      <c r="D10" s="21" t="s">
        <v>326</v>
      </c>
      <c r="E10" s="8" t="s">
        <v>323</v>
      </c>
    </row>
    <row r="11" spans="1:5" ht="26.4" x14ac:dyDescent="0.3">
      <c r="A11" s="8" t="s">
        <v>162</v>
      </c>
      <c r="B11" s="8" t="s">
        <v>327</v>
      </c>
      <c r="C11" s="8" t="s">
        <v>328</v>
      </c>
      <c r="D11" s="21"/>
      <c r="E11" s="8" t="s">
        <v>165</v>
      </c>
    </row>
    <row r="12" spans="1:5" ht="39.6" x14ac:dyDescent="0.3">
      <c r="A12" s="8" t="s">
        <v>166</v>
      </c>
      <c r="B12" s="8" t="s">
        <v>167</v>
      </c>
      <c r="C12" s="8" t="s">
        <v>329</v>
      </c>
      <c r="D12" s="21" t="s">
        <v>330</v>
      </c>
      <c r="E12" s="8" t="s">
        <v>170</v>
      </c>
    </row>
  </sheetData>
  <mergeCells count="1">
    <mergeCell ref="B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2EFDA"/>
  </sheetPr>
  <dimension ref="A1:E10"/>
  <sheetViews>
    <sheetView showGridLines="0" workbookViewId="0">
      <pane ySplit="5" topLeftCell="A6" activePane="bottomLeft" state="frozen"/>
      <selection pane="bottomLeft"/>
    </sheetView>
  </sheetViews>
  <sheetFormatPr defaultRowHeight="14.4" x14ac:dyDescent="0.3"/>
  <cols>
    <col min="1" max="1" width="8" customWidth="1"/>
    <col min="2" max="2" width="30" customWidth="1"/>
    <col min="3" max="3" width="65" customWidth="1"/>
    <col min="4" max="4" width="70" customWidth="1"/>
    <col min="5" max="5" width="26" customWidth="1"/>
  </cols>
  <sheetData>
    <row r="1" spans="1:5" ht="21" x14ac:dyDescent="0.4">
      <c r="A1" s="1" t="s">
        <v>331</v>
      </c>
    </row>
    <row r="2" spans="1:5" x14ac:dyDescent="0.3">
      <c r="A2" s="2" t="s">
        <v>303</v>
      </c>
    </row>
    <row r="3" spans="1:5" ht="31.95" customHeight="1" x14ac:dyDescent="0.3">
      <c r="A3" s="3" t="s">
        <v>304</v>
      </c>
      <c r="B3" s="25" t="s">
        <v>332</v>
      </c>
      <c r="C3" s="26"/>
      <c r="D3" s="26"/>
      <c r="E3" s="26"/>
    </row>
    <row r="5" spans="1:5" x14ac:dyDescent="0.3">
      <c r="A5" s="5" t="s">
        <v>122</v>
      </c>
      <c r="B5" s="5" t="s">
        <v>306</v>
      </c>
      <c r="C5" s="5" t="s">
        <v>307</v>
      </c>
      <c r="D5" s="5" t="s">
        <v>308</v>
      </c>
      <c r="E5" s="5" t="s">
        <v>309</v>
      </c>
    </row>
    <row r="6" spans="1:5" ht="132" x14ac:dyDescent="0.3">
      <c r="A6" s="8" t="s">
        <v>171</v>
      </c>
      <c r="B6" s="8" t="s">
        <v>333</v>
      </c>
      <c r="C6" s="8" t="s">
        <v>334</v>
      </c>
      <c r="D6" s="21" t="s">
        <v>335</v>
      </c>
      <c r="E6" s="8" t="s">
        <v>336</v>
      </c>
    </row>
    <row r="7" spans="1:5" ht="66" x14ac:dyDescent="0.3">
      <c r="A7" s="8" t="s">
        <v>177</v>
      </c>
      <c r="B7" s="8" t="s">
        <v>337</v>
      </c>
      <c r="C7" s="8" t="s">
        <v>338</v>
      </c>
      <c r="D7" s="21" t="s">
        <v>339</v>
      </c>
      <c r="E7" s="8" t="s">
        <v>340</v>
      </c>
    </row>
    <row r="8" spans="1:5" ht="48" x14ac:dyDescent="0.3">
      <c r="A8" s="8" t="s">
        <v>182</v>
      </c>
      <c r="B8" s="8" t="s">
        <v>183</v>
      </c>
      <c r="C8" s="8" t="s">
        <v>341</v>
      </c>
      <c r="D8" s="21" t="s">
        <v>342</v>
      </c>
      <c r="E8" s="8" t="s">
        <v>343</v>
      </c>
    </row>
    <row r="9" spans="1:5" ht="26.4" x14ac:dyDescent="0.3">
      <c r="A9" s="8" t="s">
        <v>187</v>
      </c>
      <c r="B9" s="8" t="s">
        <v>344</v>
      </c>
      <c r="C9" s="8" t="s">
        <v>345</v>
      </c>
      <c r="D9" s="21" t="s">
        <v>346</v>
      </c>
      <c r="E9" s="8" t="s">
        <v>347</v>
      </c>
    </row>
    <row r="10" spans="1:5" ht="39.6" x14ac:dyDescent="0.3">
      <c r="A10" s="8" t="s">
        <v>192</v>
      </c>
      <c r="B10" s="8" t="s">
        <v>167</v>
      </c>
      <c r="C10" s="8" t="s">
        <v>348</v>
      </c>
      <c r="D10" s="21" t="s">
        <v>349</v>
      </c>
      <c r="E10" s="8" t="s">
        <v>170</v>
      </c>
    </row>
  </sheetData>
  <mergeCells count="1">
    <mergeCell ref="B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CE4D6"/>
  </sheetPr>
  <dimension ref="A1:E12"/>
  <sheetViews>
    <sheetView showGridLines="0" topLeftCell="D1" workbookViewId="0">
      <pane ySplit="5" topLeftCell="A6" activePane="bottomLeft" state="frozen"/>
      <selection pane="bottomLeft"/>
    </sheetView>
  </sheetViews>
  <sheetFormatPr defaultRowHeight="14.4" x14ac:dyDescent="0.3"/>
  <cols>
    <col min="1" max="1" width="8" customWidth="1"/>
    <col min="2" max="2" width="30" customWidth="1"/>
    <col min="3" max="3" width="65" customWidth="1"/>
    <col min="4" max="4" width="70" customWidth="1"/>
    <col min="5" max="5" width="26" customWidth="1"/>
  </cols>
  <sheetData>
    <row r="1" spans="1:5" ht="21" x14ac:dyDescent="0.4">
      <c r="A1" s="1" t="s">
        <v>350</v>
      </c>
    </row>
    <row r="2" spans="1:5" x14ac:dyDescent="0.3">
      <c r="A2" s="2" t="s">
        <v>303</v>
      </c>
    </row>
    <row r="3" spans="1:5" ht="31.95" customHeight="1" x14ac:dyDescent="0.3">
      <c r="A3" s="3" t="s">
        <v>304</v>
      </c>
      <c r="B3" s="25" t="s">
        <v>351</v>
      </c>
      <c r="C3" s="26"/>
      <c r="D3" s="26"/>
      <c r="E3" s="26"/>
    </row>
    <row r="5" spans="1:5" x14ac:dyDescent="0.3">
      <c r="A5" s="5" t="s">
        <v>122</v>
      </c>
      <c r="B5" s="5" t="s">
        <v>306</v>
      </c>
      <c r="C5" s="5" t="s">
        <v>307</v>
      </c>
      <c r="D5" s="5" t="s">
        <v>308</v>
      </c>
      <c r="E5" s="5" t="s">
        <v>309</v>
      </c>
    </row>
    <row r="6" spans="1:5" ht="26.4" x14ac:dyDescent="0.3">
      <c r="A6" s="8" t="s">
        <v>195</v>
      </c>
      <c r="B6" s="8" t="s">
        <v>352</v>
      </c>
      <c r="C6" s="8" t="s">
        <v>353</v>
      </c>
      <c r="D6" s="21" t="s">
        <v>354</v>
      </c>
      <c r="E6" s="8" t="s">
        <v>355</v>
      </c>
    </row>
    <row r="7" spans="1:5" ht="39.6" x14ac:dyDescent="0.3">
      <c r="A7" s="8" t="s">
        <v>201</v>
      </c>
      <c r="B7" s="8" t="s">
        <v>202</v>
      </c>
      <c r="C7" s="8" t="s">
        <v>356</v>
      </c>
      <c r="D7" s="21" t="s">
        <v>357</v>
      </c>
      <c r="E7" s="8" t="s">
        <v>355</v>
      </c>
    </row>
    <row r="8" spans="1:5" ht="39.6" x14ac:dyDescent="0.3">
      <c r="A8" s="8" t="s">
        <v>205</v>
      </c>
      <c r="B8" s="8" t="s">
        <v>206</v>
      </c>
      <c r="C8" s="8" t="s">
        <v>358</v>
      </c>
      <c r="D8" s="21" t="s">
        <v>359</v>
      </c>
      <c r="E8" s="8" t="s">
        <v>360</v>
      </c>
    </row>
    <row r="9" spans="1:5" ht="36" x14ac:dyDescent="0.3">
      <c r="A9" s="8" t="s">
        <v>210</v>
      </c>
      <c r="B9" s="8" t="s">
        <v>211</v>
      </c>
      <c r="C9" s="8" t="s">
        <v>361</v>
      </c>
      <c r="D9" s="21" t="s">
        <v>362</v>
      </c>
      <c r="E9" s="8" t="s">
        <v>363</v>
      </c>
    </row>
    <row r="10" spans="1:5" ht="36" x14ac:dyDescent="0.3">
      <c r="A10" s="8" t="s">
        <v>214</v>
      </c>
      <c r="B10" s="8" t="s">
        <v>364</v>
      </c>
      <c r="C10" s="8" t="s">
        <v>365</v>
      </c>
      <c r="D10" s="21" t="s">
        <v>366</v>
      </c>
      <c r="E10" s="8" t="s">
        <v>367</v>
      </c>
    </row>
    <row r="11" spans="1:5" ht="26.4" x14ac:dyDescent="0.3">
      <c r="A11" s="8" t="s">
        <v>219</v>
      </c>
      <c r="B11" s="8" t="s">
        <v>220</v>
      </c>
      <c r="C11" s="8" t="s">
        <v>368</v>
      </c>
      <c r="D11" s="21"/>
      <c r="E11" s="8" t="s">
        <v>223</v>
      </c>
    </row>
    <row r="12" spans="1:5" ht="26.4" x14ac:dyDescent="0.3">
      <c r="A12" s="8" t="s">
        <v>224</v>
      </c>
      <c r="B12" s="8" t="s">
        <v>167</v>
      </c>
      <c r="C12" s="8" t="s">
        <v>369</v>
      </c>
      <c r="D12" s="21" t="s">
        <v>370</v>
      </c>
      <c r="E12" s="8" t="s">
        <v>170</v>
      </c>
    </row>
  </sheetData>
  <mergeCells count="1">
    <mergeCell ref="B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E3F5"/>
  </sheetPr>
  <dimension ref="A1:E12"/>
  <sheetViews>
    <sheetView showGridLines="0" workbookViewId="0">
      <pane ySplit="5" topLeftCell="A7" activePane="bottomLeft" state="frozen"/>
      <selection pane="bottomLeft"/>
    </sheetView>
  </sheetViews>
  <sheetFormatPr defaultRowHeight="14.4" x14ac:dyDescent="0.3"/>
  <cols>
    <col min="1" max="1" width="8" customWidth="1"/>
    <col min="2" max="2" width="30" customWidth="1"/>
    <col min="3" max="3" width="65" customWidth="1"/>
    <col min="4" max="4" width="70" customWidth="1"/>
    <col min="5" max="5" width="26" customWidth="1"/>
  </cols>
  <sheetData>
    <row r="1" spans="1:5" ht="21" x14ac:dyDescent="0.4">
      <c r="A1" s="1" t="s">
        <v>371</v>
      </c>
    </row>
    <row r="2" spans="1:5" x14ac:dyDescent="0.3">
      <c r="A2" s="2" t="s">
        <v>303</v>
      </c>
    </row>
    <row r="3" spans="1:5" ht="31.95" customHeight="1" x14ac:dyDescent="0.3">
      <c r="A3" s="3" t="s">
        <v>304</v>
      </c>
      <c r="B3" s="25" t="s">
        <v>372</v>
      </c>
      <c r="C3" s="26"/>
      <c r="D3" s="26"/>
      <c r="E3" s="26"/>
    </row>
    <row r="5" spans="1:5" x14ac:dyDescent="0.3">
      <c r="A5" s="5" t="s">
        <v>122</v>
      </c>
      <c r="B5" s="5" t="s">
        <v>306</v>
      </c>
      <c r="C5" s="5" t="s">
        <v>307</v>
      </c>
      <c r="D5" s="5" t="s">
        <v>308</v>
      </c>
      <c r="E5" s="5" t="s">
        <v>309</v>
      </c>
    </row>
    <row r="6" spans="1:5" ht="52.8" x14ac:dyDescent="0.3">
      <c r="A6" s="8" t="s">
        <v>226</v>
      </c>
      <c r="B6" s="8" t="s">
        <v>373</v>
      </c>
      <c r="C6" s="8" t="s">
        <v>374</v>
      </c>
      <c r="D6" s="21" t="s">
        <v>375</v>
      </c>
      <c r="E6" s="8" t="s">
        <v>376</v>
      </c>
    </row>
    <row r="7" spans="1:5" ht="84" x14ac:dyDescent="0.3">
      <c r="A7" s="8" t="s">
        <v>232</v>
      </c>
      <c r="B7" s="8" t="s">
        <v>377</v>
      </c>
      <c r="C7" s="8" t="s">
        <v>378</v>
      </c>
      <c r="D7" s="21" t="s">
        <v>379</v>
      </c>
      <c r="E7" s="8" t="s">
        <v>380</v>
      </c>
    </row>
    <row r="8" spans="1:5" ht="60" x14ac:dyDescent="0.3">
      <c r="A8" s="8" t="s">
        <v>237</v>
      </c>
      <c r="B8" s="8" t="s">
        <v>238</v>
      </c>
      <c r="C8" s="8" t="s">
        <v>381</v>
      </c>
      <c r="D8" s="21" t="s">
        <v>382</v>
      </c>
      <c r="E8" s="8" t="s">
        <v>383</v>
      </c>
    </row>
    <row r="9" spans="1:5" ht="26.4" x14ac:dyDescent="0.3">
      <c r="A9" s="8" t="s">
        <v>242</v>
      </c>
      <c r="B9" s="8" t="s">
        <v>384</v>
      </c>
      <c r="C9" s="8" t="s">
        <v>385</v>
      </c>
      <c r="D9" s="21" t="s">
        <v>386</v>
      </c>
      <c r="E9" s="8" t="s">
        <v>387</v>
      </c>
    </row>
    <row r="10" spans="1:5" ht="26.4" x14ac:dyDescent="0.3">
      <c r="A10" s="8" t="s">
        <v>246</v>
      </c>
      <c r="B10" s="8" t="s">
        <v>388</v>
      </c>
      <c r="C10" s="8" t="s">
        <v>389</v>
      </c>
      <c r="D10" s="21"/>
      <c r="E10" s="8" t="s">
        <v>390</v>
      </c>
    </row>
    <row r="11" spans="1:5" ht="39.6" x14ac:dyDescent="0.3">
      <c r="A11" s="8" t="s">
        <v>250</v>
      </c>
      <c r="B11" s="8" t="s">
        <v>251</v>
      </c>
      <c r="C11" s="8" t="s">
        <v>391</v>
      </c>
      <c r="D11" s="21"/>
      <c r="E11" s="8" t="s">
        <v>392</v>
      </c>
    </row>
    <row r="12" spans="1:5" x14ac:dyDescent="0.3">
      <c r="A12" s="8" t="s">
        <v>254</v>
      </c>
      <c r="B12" s="8" t="s">
        <v>167</v>
      </c>
      <c r="C12" s="8" t="s">
        <v>393</v>
      </c>
      <c r="D12" s="21" t="s">
        <v>394</v>
      </c>
      <c r="E12" s="8" t="s">
        <v>170</v>
      </c>
    </row>
  </sheetData>
  <mergeCells count="1">
    <mergeCell ref="B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2CC"/>
  </sheetPr>
  <dimension ref="A1:E15"/>
  <sheetViews>
    <sheetView showGridLines="0" workbookViewId="0">
      <pane ySplit="5" topLeftCell="A11" activePane="bottomLeft" state="frozen"/>
      <selection pane="bottomLeft" activeCell="C11" sqref="C11"/>
    </sheetView>
  </sheetViews>
  <sheetFormatPr defaultRowHeight="14.4" x14ac:dyDescent="0.3"/>
  <cols>
    <col min="1" max="1" width="8" customWidth="1"/>
    <col min="2" max="2" width="30" customWidth="1"/>
    <col min="3" max="3" width="65" customWidth="1"/>
    <col min="4" max="4" width="70" customWidth="1"/>
    <col min="5" max="5" width="26" customWidth="1"/>
  </cols>
  <sheetData>
    <row r="1" spans="1:5" ht="21" x14ac:dyDescent="0.4">
      <c r="A1" s="1" t="s">
        <v>395</v>
      </c>
    </row>
    <row r="2" spans="1:5" x14ac:dyDescent="0.3">
      <c r="A2" s="2" t="s">
        <v>303</v>
      </c>
    </row>
    <row r="3" spans="1:5" ht="31.95" customHeight="1" x14ac:dyDescent="0.3">
      <c r="A3" s="3" t="s">
        <v>304</v>
      </c>
      <c r="B3" s="25" t="s">
        <v>396</v>
      </c>
      <c r="C3" s="26"/>
      <c r="D3" s="26"/>
      <c r="E3" s="26"/>
    </row>
    <row r="5" spans="1:5" x14ac:dyDescent="0.3">
      <c r="A5" s="5" t="s">
        <v>122</v>
      </c>
      <c r="B5" s="5" t="s">
        <v>306</v>
      </c>
      <c r="C5" s="5" t="s">
        <v>307</v>
      </c>
      <c r="D5" s="5" t="s">
        <v>308</v>
      </c>
      <c r="E5" s="5" t="s">
        <v>309</v>
      </c>
    </row>
    <row r="6" spans="1:5" ht="52.8" x14ac:dyDescent="0.3">
      <c r="A6" s="8" t="s">
        <v>257</v>
      </c>
      <c r="B6" s="8" t="s">
        <v>397</v>
      </c>
      <c r="C6" s="8" t="s">
        <v>398</v>
      </c>
      <c r="D6" s="21" t="s">
        <v>399</v>
      </c>
      <c r="E6" s="8" t="s">
        <v>400</v>
      </c>
    </row>
    <row r="7" spans="1:5" ht="52.8" x14ac:dyDescent="0.3">
      <c r="A7" s="8" t="s">
        <v>263</v>
      </c>
      <c r="B7" s="8" t="s">
        <v>264</v>
      </c>
      <c r="C7" s="8" t="s">
        <v>401</v>
      </c>
      <c r="D7" s="21"/>
      <c r="E7" s="8" t="s">
        <v>402</v>
      </c>
    </row>
    <row r="8" spans="1:5" ht="26.4" x14ac:dyDescent="0.3">
      <c r="A8" s="8" t="s">
        <v>267</v>
      </c>
      <c r="B8" s="8" t="s">
        <v>268</v>
      </c>
      <c r="C8" s="8" t="s">
        <v>403</v>
      </c>
      <c r="D8" s="21"/>
      <c r="E8" s="8" t="s">
        <v>402</v>
      </c>
    </row>
    <row r="9" spans="1:5" ht="26.4" x14ac:dyDescent="0.3">
      <c r="A9" s="8" t="s">
        <v>270</v>
      </c>
      <c r="B9" s="8" t="s">
        <v>271</v>
      </c>
      <c r="C9" s="8" t="s">
        <v>404</v>
      </c>
      <c r="D9" s="21"/>
      <c r="E9" s="8" t="s">
        <v>405</v>
      </c>
    </row>
    <row r="10" spans="1:5" ht="26.4" x14ac:dyDescent="0.3">
      <c r="A10" s="8" t="s">
        <v>275</v>
      </c>
      <c r="B10" s="8" t="s">
        <v>276</v>
      </c>
      <c r="C10" s="8" t="s">
        <v>406</v>
      </c>
      <c r="D10" s="21"/>
      <c r="E10" s="8" t="s">
        <v>230</v>
      </c>
    </row>
    <row r="11" spans="1:5" ht="84" x14ac:dyDescent="0.3">
      <c r="A11" s="8" t="s">
        <v>279</v>
      </c>
      <c r="B11" s="8" t="s">
        <v>281</v>
      </c>
      <c r="C11" s="8" t="s">
        <v>407</v>
      </c>
      <c r="D11" s="21" t="s">
        <v>408</v>
      </c>
      <c r="E11" s="8" t="s">
        <v>409</v>
      </c>
    </row>
    <row r="12" spans="1:5" ht="26.4" x14ac:dyDescent="0.3">
      <c r="A12" s="8" t="s">
        <v>284</v>
      </c>
      <c r="B12" s="8" t="s">
        <v>285</v>
      </c>
      <c r="C12" s="8" t="s">
        <v>410</v>
      </c>
      <c r="D12" s="21"/>
      <c r="E12" s="8" t="s">
        <v>288</v>
      </c>
    </row>
    <row r="13" spans="1:5" x14ac:dyDescent="0.3">
      <c r="A13" s="8" t="s">
        <v>289</v>
      </c>
      <c r="B13" s="8" t="s">
        <v>290</v>
      </c>
      <c r="C13" s="8" t="s">
        <v>411</v>
      </c>
      <c r="D13" s="21"/>
      <c r="E13" s="8" t="s">
        <v>230</v>
      </c>
    </row>
    <row r="14" spans="1:5" ht="26.4" x14ac:dyDescent="0.3">
      <c r="A14" s="8" t="s">
        <v>293</v>
      </c>
      <c r="B14" s="8" t="s">
        <v>294</v>
      </c>
      <c r="C14" s="8" t="s">
        <v>412</v>
      </c>
      <c r="D14" s="21"/>
      <c r="E14" s="8" t="s">
        <v>296</v>
      </c>
    </row>
    <row r="15" spans="1:5" ht="52.8" x14ac:dyDescent="0.3">
      <c r="A15" s="8" t="s">
        <v>297</v>
      </c>
      <c r="B15" s="8" t="s">
        <v>299</v>
      </c>
      <c r="C15" s="8" t="s">
        <v>413</v>
      </c>
      <c r="D15" s="21"/>
      <c r="E15" s="8" t="s">
        <v>414</v>
      </c>
    </row>
  </sheetData>
  <mergeCells count="1">
    <mergeCell ref="B3:E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0"/>
  <sheetViews>
    <sheetView showGridLines="0" tabSelected="1" workbookViewId="0">
      <pane ySplit="4" topLeftCell="A5" activePane="bottomLeft" state="frozen"/>
      <selection pane="bottomLeft" activeCell="E23" sqref="E23"/>
    </sheetView>
  </sheetViews>
  <sheetFormatPr defaultRowHeight="14.4" x14ac:dyDescent="0.3"/>
  <cols>
    <col min="1" max="1" width="12" customWidth="1"/>
    <col min="2" max="2" width="11" customWidth="1"/>
    <col min="3" max="3" width="44" customWidth="1"/>
    <col min="4" max="4" width="12" customWidth="1"/>
    <col min="5" max="5" width="45" customWidth="1"/>
    <col min="6" max="6" width="14" customWidth="1"/>
  </cols>
  <sheetData>
    <row r="1" spans="1:6" ht="21" x14ac:dyDescent="0.4">
      <c r="A1" s="1" t="s">
        <v>415</v>
      </c>
    </row>
    <row r="2" spans="1:6" x14ac:dyDescent="0.3">
      <c r="A2" s="2" t="s">
        <v>416</v>
      </c>
    </row>
    <row r="4" spans="1:6" ht="27.6" x14ac:dyDescent="0.3">
      <c r="A4" s="5" t="s">
        <v>417</v>
      </c>
      <c r="B4" s="5" t="s">
        <v>418</v>
      </c>
      <c r="C4" s="5" t="s">
        <v>419</v>
      </c>
      <c r="D4" s="5" t="s">
        <v>420</v>
      </c>
      <c r="E4" s="5" t="s">
        <v>421</v>
      </c>
      <c r="F4" s="5" t="s">
        <v>133</v>
      </c>
    </row>
    <row r="5" spans="1:6" x14ac:dyDescent="0.3">
      <c r="A5" s="8">
        <v>1</v>
      </c>
      <c r="B5" s="8" t="s">
        <v>230</v>
      </c>
      <c r="C5" s="8" t="s">
        <v>422</v>
      </c>
      <c r="D5" s="7" t="s">
        <v>32</v>
      </c>
      <c r="E5" s="8" t="s">
        <v>230</v>
      </c>
      <c r="F5" s="7" t="s">
        <v>423</v>
      </c>
    </row>
    <row r="6" spans="1:6" x14ac:dyDescent="0.3">
      <c r="A6" s="8">
        <v>2</v>
      </c>
      <c r="B6" s="8" t="s">
        <v>230</v>
      </c>
      <c r="C6" s="8" t="s">
        <v>424</v>
      </c>
      <c r="D6" s="7" t="s">
        <v>32</v>
      </c>
      <c r="E6" s="8" t="s">
        <v>230</v>
      </c>
      <c r="F6" s="7" t="s">
        <v>423</v>
      </c>
    </row>
    <row r="7" spans="1:6" x14ac:dyDescent="0.3">
      <c r="A7" s="8">
        <v>3</v>
      </c>
      <c r="B7" s="8" t="s">
        <v>230</v>
      </c>
      <c r="C7" s="8" t="s">
        <v>425</v>
      </c>
      <c r="D7" s="7" t="s">
        <v>32</v>
      </c>
      <c r="E7" s="8" t="s">
        <v>230</v>
      </c>
      <c r="F7" s="7" t="s">
        <v>423</v>
      </c>
    </row>
    <row r="8" spans="1:6" x14ac:dyDescent="0.3">
      <c r="A8" s="8">
        <v>4</v>
      </c>
      <c r="B8" s="8" t="s">
        <v>68</v>
      </c>
      <c r="C8" s="8" t="s">
        <v>426</v>
      </c>
      <c r="D8" s="6" t="s">
        <v>16</v>
      </c>
      <c r="E8" s="8" t="s">
        <v>230</v>
      </c>
      <c r="F8" s="7" t="s">
        <v>423</v>
      </c>
    </row>
    <row r="9" spans="1:6" x14ac:dyDescent="0.3">
      <c r="A9" s="8">
        <v>5</v>
      </c>
      <c r="B9" s="8" t="s">
        <v>71</v>
      </c>
      <c r="C9" s="8" t="s">
        <v>427</v>
      </c>
      <c r="D9" s="6" t="s">
        <v>16</v>
      </c>
      <c r="E9" s="8" t="s">
        <v>428</v>
      </c>
      <c r="F9" s="7" t="s">
        <v>423</v>
      </c>
    </row>
    <row r="10" spans="1:6" x14ac:dyDescent="0.3">
      <c r="A10" s="8">
        <v>6</v>
      </c>
      <c r="B10" s="8" t="s">
        <v>74</v>
      </c>
      <c r="C10" s="8" t="s">
        <v>429</v>
      </c>
      <c r="D10" s="6" t="s">
        <v>16</v>
      </c>
      <c r="E10" s="8" t="s">
        <v>430</v>
      </c>
      <c r="F10" s="7" t="s">
        <v>423</v>
      </c>
    </row>
    <row r="11" spans="1:6" x14ac:dyDescent="0.3">
      <c r="A11" s="8">
        <v>7</v>
      </c>
      <c r="B11" s="8" t="s">
        <v>77</v>
      </c>
      <c r="C11" s="8" t="s">
        <v>431</v>
      </c>
      <c r="D11" s="6" t="s">
        <v>16</v>
      </c>
      <c r="E11" s="8" t="s">
        <v>432</v>
      </c>
      <c r="F11" s="7" t="s">
        <v>423</v>
      </c>
    </row>
    <row r="12" spans="1:6" x14ac:dyDescent="0.3">
      <c r="A12" s="8">
        <v>8</v>
      </c>
      <c r="B12" s="20" t="s">
        <v>433</v>
      </c>
      <c r="C12" s="8" t="s">
        <v>434</v>
      </c>
      <c r="D12" s="6" t="s">
        <v>16</v>
      </c>
      <c r="E12" s="8" t="s">
        <v>435</v>
      </c>
      <c r="F12" s="7" t="s">
        <v>423</v>
      </c>
    </row>
    <row r="13" spans="1:6" x14ac:dyDescent="0.3">
      <c r="A13" s="8">
        <v>9</v>
      </c>
      <c r="B13" s="8" t="s">
        <v>436</v>
      </c>
      <c r="C13" s="8" t="s">
        <v>437</v>
      </c>
      <c r="D13" s="11" t="s">
        <v>20</v>
      </c>
      <c r="E13" s="8" t="s">
        <v>438</v>
      </c>
      <c r="F13" s="7" t="s">
        <v>423</v>
      </c>
    </row>
    <row r="14" spans="1:6" x14ac:dyDescent="0.3">
      <c r="A14" s="8">
        <v>10</v>
      </c>
      <c r="B14" s="8" t="s">
        <v>439</v>
      </c>
      <c r="C14" s="8" t="s">
        <v>440</v>
      </c>
      <c r="D14" s="11" t="s">
        <v>20</v>
      </c>
      <c r="E14" s="8" t="s">
        <v>441</v>
      </c>
      <c r="F14" s="7" t="s">
        <v>423</v>
      </c>
    </row>
    <row r="15" spans="1:6" x14ac:dyDescent="0.3">
      <c r="A15" s="8">
        <v>11</v>
      </c>
      <c r="B15" s="8" t="s">
        <v>190</v>
      </c>
      <c r="C15" s="8" t="s">
        <v>442</v>
      </c>
      <c r="D15" s="11" t="s">
        <v>20</v>
      </c>
      <c r="E15" s="8" t="s">
        <v>443</v>
      </c>
      <c r="F15" s="7" t="s">
        <v>423</v>
      </c>
    </row>
    <row r="16" spans="1:6" x14ac:dyDescent="0.3">
      <c r="A16" s="8">
        <v>12</v>
      </c>
      <c r="B16" s="20" t="s">
        <v>433</v>
      </c>
      <c r="C16" s="8" t="s">
        <v>444</v>
      </c>
      <c r="D16" s="11" t="s">
        <v>20</v>
      </c>
      <c r="E16" s="8" t="s">
        <v>445</v>
      </c>
      <c r="F16" s="7" t="s">
        <v>423</v>
      </c>
    </row>
    <row r="17" spans="1:6" x14ac:dyDescent="0.3">
      <c r="A17" s="8">
        <v>13</v>
      </c>
      <c r="B17" s="8" t="s">
        <v>185</v>
      </c>
      <c r="C17" s="8" t="s">
        <v>446</v>
      </c>
      <c r="D17" s="12" t="s">
        <v>24</v>
      </c>
      <c r="E17" s="8" t="s">
        <v>447</v>
      </c>
      <c r="F17" s="7" t="s">
        <v>423</v>
      </c>
    </row>
    <row r="18" spans="1:6" x14ac:dyDescent="0.3">
      <c r="A18" s="8">
        <v>14</v>
      </c>
      <c r="B18" s="8" t="s">
        <v>448</v>
      </c>
      <c r="C18" s="8" t="s">
        <v>449</v>
      </c>
      <c r="D18" s="12" t="s">
        <v>24</v>
      </c>
      <c r="E18" s="8" t="s">
        <v>450</v>
      </c>
      <c r="F18" s="7" t="s">
        <v>423</v>
      </c>
    </row>
    <row r="19" spans="1:6" x14ac:dyDescent="0.3">
      <c r="A19" s="8">
        <v>15</v>
      </c>
      <c r="B19" s="8" t="s">
        <v>199</v>
      </c>
      <c r="C19" s="8" t="s">
        <v>451</v>
      </c>
      <c r="D19" s="12" t="s">
        <v>24</v>
      </c>
      <c r="E19" s="8" t="s">
        <v>452</v>
      </c>
      <c r="F19" s="7" t="s">
        <v>423</v>
      </c>
    </row>
    <row r="20" spans="1:6" x14ac:dyDescent="0.3">
      <c r="A20" s="8">
        <v>16</v>
      </c>
      <c r="B20" s="8" t="s">
        <v>208</v>
      </c>
      <c r="C20" s="8" t="s">
        <v>453</v>
      </c>
      <c r="D20" s="13" t="s">
        <v>28</v>
      </c>
      <c r="E20" s="8" t="s">
        <v>454</v>
      </c>
      <c r="F20" s="7" t="s">
        <v>423</v>
      </c>
    </row>
    <row r="21" spans="1:6" x14ac:dyDescent="0.3">
      <c r="A21" s="8">
        <v>17</v>
      </c>
      <c r="B21" s="8" t="s">
        <v>217</v>
      </c>
      <c r="C21" s="8" t="s">
        <v>455</v>
      </c>
      <c r="D21" s="13" t="s">
        <v>28</v>
      </c>
      <c r="E21" s="8" t="s">
        <v>456</v>
      </c>
      <c r="F21" s="7" t="s">
        <v>423</v>
      </c>
    </row>
    <row r="22" spans="1:6" x14ac:dyDescent="0.3">
      <c r="A22" s="8">
        <v>18</v>
      </c>
      <c r="B22" s="20" t="s">
        <v>433</v>
      </c>
      <c r="C22" s="8" t="s">
        <v>457</v>
      </c>
      <c r="D22" s="13" t="s">
        <v>28</v>
      </c>
      <c r="E22" s="8" t="s">
        <v>458</v>
      </c>
      <c r="F22" s="7" t="s">
        <v>423</v>
      </c>
    </row>
    <row r="23" spans="1:6" x14ac:dyDescent="0.3">
      <c r="A23" s="8">
        <v>19</v>
      </c>
      <c r="B23" s="8" t="s">
        <v>459</v>
      </c>
      <c r="C23" s="8" t="s">
        <v>460</v>
      </c>
      <c r="D23" s="7" t="s">
        <v>32</v>
      </c>
      <c r="E23" s="8" t="s">
        <v>461</v>
      </c>
      <c r="F23" s="7" t="s">
        <v>423</v>
      </c>
    </row>
    <row r="24" spans="1:6" x14ac:dyDescent="0.3">
      <c r="A24" s="8">
        <v>20</v>
      </c>
      <c r="B24" s="8" t="s">
        <v>245</v>
      </c>
      <c r="C24" s="8" t="s">
        <v>462</v>
      </c>
      <c r="D24" s="7" t="s">
        <v>32</v>
      </c>
      <c r="E24" s="8" t="s">
        <v>463</v>
      </c>
      <c r="F24" s="7" t="s">
        <v>423</v>
      </c>
    </row>
    <row r="25" spans="1:6" x14ac:dyDescent="0.3">
      <c r="A25" s="8">
        <v>21</v>
      </c>
      <c r="B25" s="20" t="s">
        <v>433</v>
      </c>
      <c r="C25" s="8" t="s">
        <v>464</v>
      </c>
      <c r="D25" s="7" t="s">
        <v>32</v>
      </c>
      <c r="E25" s="8" t="s">
        <v>465</v>
      </c>
      <c r="F25" s="7" t="s">
        <v>423</v>
      </c>
    </row>
    <row r="26" spans="1:6" x14ac:dyDescent="0.3">
      <c r="A26" s="8">
        <v>22</v>
      </c>
      <c r="B26" s="8" t="s">
        <v>240</v>
      </c>
      <c r="C26" s="8" t="s">
        <v>466</v>
      </c>
      <c r="D26" s="7" t="s">
        <v>32</v>
      </c>
      <c r="E26" s="8" t="s">
        <v>230</v>
      </c>
      <c r="F26" s="7" t="s">
        <v>423</v>
      </c>
    </row>
    <row r="28" spans="1:6" x14ac:dyDescent="0.3">
      <c r="A28" s="3" t="s">
        <v>467</v>
      </c>
      <c r="C28">
        <f>COUNTA(A5:A26)</f>
        <v>22</v>
      </c>
    </row>
    <row r="29" spans="1:6" x14ac:dyDescent="0.3">
      <c r="A29" s="3" t="s">
        <v>468</v>
      </c>
      <c r="C29">
        <v>22</v>
      </c>
    </row>
    <row r="30" spans="1:6" x14ac:dyDescent="0.3">
      <c r="A30" s="3" t="s">
        <v>469</v>
      </c>
      <c r="C30" s="22" t="str">
        <f>IF(C28&lt;=C29,"OK","VƯỢT GIỚI HẠN")</f>
        <v>OK</v>
      </c>
    </row>
  </sheetData>
  <dataValidations count="1">
    <dataValidation type="list" sqref="F5:F26" xr:uid="{00000000-0002-0000-0800-000000000000}">
      <formula1>"Chưa xong,Nội dung xong,Đã lên deck,Đã QA"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16" customWidth="1"/>
    <col min="2" max="2" width="80" customWidth="1"/>
    <col min="3" max="3" width="12" customWidth="1"/>
    <col min="4" max="4" width="14" customWidth="1"/>
  </cols>
  <sheetData>
    <row r="1" spans="1:4" ht="21" x14ac:dyDescent="0.4">
      <c r="A1" s="1" t="s">
        <v>470</v>
      </c>
    </row>
    <row r="2" spans="1:4" x14ac:dyDescent="0.3">
      <c r="A2" s="2" t="s">
        <v>471</v>
      </c>
    </row>
    <row r="4" spans="1:4" x14ac:dyDescent="0.3">
      <c r="A4" s="5" t="s">
        <v>472</v>
      </c>
      <c r="B4" s="5" t="s">
        <v>306</v>
      </c>
      <c r="C4" s="5" t="s">
        <v>473</v>
      </c>
      <c r="D4" s="5" t="s">
        <v>474</v>
      </c>
    </row>
    <row r="5" spans="1:4" x14ac:dyDescent="0.3">
      <c r="A5" s="19">
        <v>46291.875</v>
      </c>
      <c r="B5" s="8" t="s">
        <v>475</v>
      </c>
      <c r="C5" s="8" t="s">
        <v>278</v>
      </c>
      <c r="D5" s="8">
        <f t="shared" ref="D5:D12" ca="1" si="0">IF(A5&lt;NOW(),"Đã qua",ROUND((A5-NOW())*24,1))</f>
        <v>8.3000000000000007</v>
      </c>
    </row>
    <row r="6" spans="1:4" x14ac:dyDescent="0.3">
      <c r="A6" s="19">
        <v>46292.5</v>
      </c>
      <c r="B6" s="8" t="s">
        <v>476</v>
      </c>
      <c r="C6" s="8" t="s">
        <v>477</v>
      </c>
      <c r="D6" s="8">
        <f t="shared" ca="1" si="0"/>
        <v>23.3</v>
      </c>
    </row>
    <row r="7" spans="1:4" x14ac:dyDescent="0.3">
      <c r="A7" s="19">
        <v>46292.75</v>
      </c>
      <c r="B7" s="8" t="s">
        <v>478</v>
      </c>
      <c r="C7" s="8" t="s">
        <v>477</v>
      </c>
      <c r="D7" s="8">
        <f t="shared" ca="1" si="0"/>
        <v>29.3</v>
      </c>
    </row>
    <row r="8" spans="1:4" x14ac:dyDescent="0.3">
      <c r="A8" s="19">
        <v>46292.958333333343</v>
      </c>
      <c r="B8" s="8" t="s">
        <v>479</v>
      </c>
      <c r="C8" s="8" t="s">
        <v>32</v>
      </c>
      <c r="D8" s="8">
        <f t="shared" ca="1" si="0"/>
        <v>34.299999999999997</v>
      </c>
    </row>
    <row r="9" spans="1:4" x14ac:dyDescent="0.3">
      <c r="A9" s="19">
        <v>46293.5</v>
      </c>
      <c r="B9" s="8" t="s">
        <v>480</v>
      </c>
      <c r="C9" s="8" t="s">
        <v>278</v>
      </c>
      <c r="D9" s="8">
        <f t="shared" ca="1" si="0"/>
        <v>47.3</v>
      </c>
    </row>
    <row r="10" spans="1:4" x14ac:dyDescent="0.3">
      <c r="A10" s="19">
        <v>46293.75</v>
      </c>
      <c r="B10" s="8" t="s">
        <v>481</v>
      </c>
      <c r="C10" s="8" t="s">
        <v>32</v>
      </c>
      <c r="D10" s="8">
        <f t="shared" ca="1" si="0"/>
        <v>53.3</v>
      </c>
    </row>
    <row r="11" spans="1:4" x14ac:dyDescent="0.3">
      <c r="A11" s="19">
        <v>46293.833333333343</v>
      </c>
      <c r="B11" s="8" t="s">
        <v>482</v>
      </c>
      <c r="C11" s="8" t="s">
        <v>32</v>
      </c>
      <c r="D11" s="8">
        <f t="shared" ca="1" si="0"/>
        <v>55.3</v>
      </c>
    </row>
    <row r="12" spans="1:4" x14ac:dyDescent="0.3">
      <c r="A12" s="19">
        <v>46293.999305555553</v>
      </c>
      <c r="B12" s="8" t="s">
        <v>483</v>
      </c>
      <c r="C12" s="8" t="s">
        <v>230</v>
      </c>
      <c r="D12" s="8">
        <f t="shared" ca="1" si="0"/>
        <v>59.3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2" customWidth="1"/>
    <col min="2" max="5" width="16" customWidth="1"/>
    <col min="6" max="6" width="20" customWidth="1"/>
  </cols>
  <sheetData>
    <row r="1" spans="1:6" ht="21" x14ac:dyDescent="0.4">
      <c r="A1" s="1" t="s">
        <v>484</v>
      </c>
    </row>
    <row r="2" spans="1:6" x14ac:dyDescent="0.3">
      <c r="A2" s="2" t="s">
        <v>485</v>
      </c>
    </row>
    <row r="4" spans="1:6" ht="27.6" x14ac:dyDescent="0.3">
      <c r="A4" s="5" t="s">
        <v>109</v>
      </c>
      <c r="B4" s="5" t="s">
        <v>486</v>
      </c>
      <c r="C4" s="5" t="s">
        <v>487</v>
      </c>
      <c r="D4" s="5" t="s">
        <v>488</v>
      </c>
      <c r="E4" s="5" t="s">
        <v>489</v>
      </c>
      <c r="F4" s="5" t="s">
        <v>490</v>
      </c>
    </row>
    <row r="5" spans="1:6" x14ac:dyDescent="0.3">
      <c r="A5" s="8" t="s">
        <v>491</v>
      </c>
      <c r="B5" s="23"/>
      <c r="C5" s="23"/>
      <c r="D5" s="23"/>
      <c r="E5" s="23"/>
      <c r="F5" s="23"/>
    </row>
    <row r="6" spans="1:6" x14ac:dyDescent="0.3">
      <c r="A6" s="8" t="s">
        <v>492</v>
      </c>
      <c r="B6" s="23"/>
      <c r="C6" s="23"/>
      <c r="D6" s="23"/>
      <c r="E6" s="23"/>
      <c r="F6" s="23"/>
    </row>
    <row r="7" spans="1:6" ht="26.4" x14ac:dyDescent="0.3">
      <c r="A7" s="8" t="s">
        <v>493</v>
      </c>
      <c r="B7" s="23"/>
      <c r="C7" s="23"/>
      <c r="D7" s="23"/>
      <c r="E7" s="23"/>
      <c r="F7" s="23"/>
    </row>
    <row r="8" spans="1:6" x14ac:dyDescent="0.3">
      <c r="A8" s="8" t="s">
        <v>494</v>
      </c>
      <c r="B8" s="23"/>
      <c r="C8" s="23"/>
      <c r="D8" s="23"/>
      <c r="E8" s="23"/>
      <c r="F8" s="23"/>
    </row>
    <row r="9" spans="1:6" x14ac:dyDescent="0.3">
      <c r="A9" s="8" t="s">
        <v>495</v>
      </c>
      <c r="B9" s="23"/>
      <c r="C9" s="23"/>
      <c r="D9" s="23"/>
      <c r="E9" s="23"/>
      <c r="F9" s="23"/>
    </row>
    <row r="10" spans="1:6" x14ac:dyDescent="0.3">
      <c r="A10" s="8" t="s">
        <v>496</v>
      </c>
      <c r="B10" s="23"/>
      <c r="C10" s="23"/>
      <c r="D10" s="23"/>
      <c r="E10" s="23"/>
      <c r="F10" s="23"/>
    </row>
    <row r="11" spans="1:6" x14ac:dyDescent="0.3">
      <c r="A11" s="8" t="s">
        <v>497</v>
      </c>
      <c r="B11" s="23"/>
      <c r="C11" s="23"/>
      <c r="D11" s="23"/>
      <c r="E11" s="23"/>
      <c r="F11" s="23"/>
    </row>
    <row r="12" spans="1:6" x14ac:dyDescent="0.3">
      <c r="A12" s="8" t="s">
        <v>498</v>
      </c>
      <c r="B12" s="23"/>
      <c r="C12" s="23"/>
      <c r="D12" s="23"/>
      <c r="E12" s="23"/>
      <c r="F12" s="23"/>
    </row>
    <row r="13" spans="1:6" x14ac:dyDescent="0.3">
      <c r="A13" s="3" t="s">
        <v>499</v>
      </c>
      <c r="B13" s="24" t="str">
        <f>COUNTIF(B5:B12,"x")&amp;"/8"</f>
        <v>0/8</v>
      </c>
      <c r="C13" s="24" t="str">
        <f>COUNTIF(C5:C12,"x")&amp;"/8"</f>
        <v>0/8</v>
      </c>
      <c r="D13" s="24" t="str">
        <f>COUNTIF(D5:D12,"x")&amp;"/8"</f>
        <v>0/8</v>
      </c>
      <c r="E13" s="24" t="str">
        <f>COUNTIF(E5:E12,"x")&amp;"/8"</f>
        <v>0/8</v>
      </c>
      <c r="F13" s="24" t="str">
        <f>COUNTIF(F5:F12,"x")&amp;"/8"</f>
        <v>0/8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Tổng quan</vt:lpstr>
      <vt:lpstr>Quy tắc chung</vt:lpstr>
      <vt:lpstr>Task list</vt:lpstr>
      <vt:lpstr>P1 – Hướng dẫn</vt:lpstr>
      <vt:lpstr>P2 – Hướng dẫn</vt:lpstr>
      <vt:lpstr>P3 – Hướng dẫn</vt:lpstr>
      <vt:lpstr>P4 – Hướng dẫn</vt:lpstr>
      <vt:lpstr>P5 – Hướng dẫn</vt:lpstr>
      <vt:lpstr>Slide map</vt:lpstr>
      <vt:lpstr>Lịch</vt:lpstr>
      <vt:lpstr>Checklist 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Butcher Box Rewards</cp:lastModifiedBy>
  <dcterms:created xsi:type="dcterms:W3CDTF">2026-09-26T05:27:37Z</dcterms:created>
  <dcterms:modified xsi:type="dcterms:W3CDTF">2026-09-26T05:44:13Z</dcterms:modified>
</cp:coreProperties>
</file>